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952439\Documents\Relatório Estoque Poda e Remoção\"/>
    </mc:Choice>
  </mc:AlternateContent>
  <xr:revisionPtr revIDLastSave="0" documentId="13_ncr:1_{50EAD5F6-6B98-466A-A3FB-0FFA55BCEB78}" xr6:coauthVersionLast="47" xr6:coauthVersionMax="47" xr10:uidLastSave="{00000000-0000-0000-0000-000000000000}"/>
  <bookViews>
    <workbookView xWindow="28680" yWindow="-120" windowWidth="29040" windowHeight="15720" xr2:uid="{F5AF21B8-B917-4E37-8168-180A18A402D2}"/>
  </bookViews>
  <sheets>
    <sheet name="Versão Completa" sheetId="5" r:id="rId1"/>
    <sheet name="Versão Simplificad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6" i="6"/>
  <c r="F39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6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F3" i="6"/>
  <c r="L4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6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6" i="6"/>
  <c r="G6" i="5"/>
  <c r="Z6" i="5"/>
  <c r="G7" i="5"/>
  <c r="Z7" i="5"/>
  <c r="G8" i="5"/>
  <c r="Z8" i="5"/>
  <c r="G9" i="5"/>
  <c r="Z9" i="5"/>
  <c r="G10" i="5"/>
  <c r="Z10" i="5"/>
  <c r="G11" i="5"/>
  <c r="Z11" i="5"/>
  <c r="G12" i="5"/>
  <c r="Z12" i="5"/>
  <c r="G13" i="5"/>
  <c r="Z13" i="5"/>
  <c r="G14" i="5"/>
  <c r="Z14" i="5"/>
  <c r="G15" i="5"/>
  <c r="Z15" i="5"/>
  <c r="G16" i="5"/>
  <c r="Z16" i="5"/>
  <c r="G17" i="5"/>
  <c r="Z17" i="5"/>
  <c r="G18" i="5"/>
  <c r="Z18" i="5"/>
  <c r="G19" i="5"/>
  <c r="Z19" i="5"/>
  <c r="G20" i="5"/>
  <c r="Z20" i="5"/>
  <c r="G21" i="5"/>
  <c r="Z21" i="5"/>
  <c r="G22" i="5"/>
  <c r="Z22" i="5"/>
  <c r="G23" i="5"/>
  <c r="Z23" i="5"/>
  <c r="G24" i="5"/>
  <c r="Z24" i="5"/>
  <c r="G25" i="5"/>
  <c r="Z25" i="5"/>
  <c r="G26" i="5"/>
  <c r="Z26" i="5"/>
  <c r="G27" i="5"/>
  <c r="Z27" i="5"/>
  <c r="G28" i="5"/>
  <c r="Z28" i="5"/>
  <c r="G29" i="5"/>
  <c r="Z29" i="5"/>
  <c r="G30" i="5"/>
  <c r="Z30" i="5"/>
  <c r="G31" i="5"/>
  <c r="Z31" i="5"/>
  <c r="G32" i="5"/>
  <c r="Z32" i="5"/>
  <c r="G33" i="5"/>
  <c r="Z33" i="5"/>
  <c r="G34" i="5"/>
  <c r="Z34" i="5"/>
  <c r="G35" i="5"/>
  <c r="Z35" i="5"/>
  <c r="G36" i="5"/>
  <c r="Z36" i="5"/>
  <c r="G37" i="5"/>
  <c r="Z37" i="5"/>
  <c r="G38" i="5"/>
  <c r="Z38" i="5"/>
  <c r="E39" i="5"/>
  <c r="F39" i="5"/>
  <c r="G39" i="5"/>
  <c r="H39" i="5"/>
  <c r="I39" i="5"/>
  <c r="J39" i="5"/>
  <c r="K39" i="5"/>
  <c r="N39" i="5"/>
  <c r="O39" i="5"/>
  <c r="R39" i="5"/>
  <c r="S39" i="5"/>
  <c r="V39" i="5"/>
  <c r="W39" i="5"/>
  <c r="G39" i="6" l="1"/>
  <c r="P39" i="5"/>
  <c r="T39" i="5"/>
  <c r="X39" i="5"/>
  <c r="L39" i="5"/>
  <c r="M39" i="5"/>
  <c r="Q39" i="5" s="1"/>
  <c r="U39" i="5" s="1"/>
  <c r="Y39" i="5" s="1"/>
  <c r="Z39" i="5" s="1"/>
  <c r="H39" i="6"/>
  <c r="J39" i="6"/>
  <c r="I39" i="6"/>
  <c r="E39" i="6"/>
  <c r="K39" i="6" l="1"/>
  <c r="L39" i="6"/>
</calcChain>
</file>

<file path=xl/sharedStrings.xml><?xml version="1.0" encoding="utf-8"?>
<sst xmlns="http://schemas.openxmlformats.org/spreadsheetml/2006/main" count="139" uniqueCount="76">
  <si>
    <t>Era Técnica</t>
  </si>
  <si>
    <t>Parelheiros</t>
  </si>
  <si>
    <t>M Boi Mirim</t>
  </si>
  <si>
    <t>Capela do Socorro</t>
  </si>
  <si>
    <t>Campo Limpo</t>
  </si>
  <si>
    <t>Cidade Ademar</t>
  </si>
  <si>
    <t>Lote XVII
Era Técnica</t>
  </si>
  <si>
    <t>Empresa</t>
  </si>
  <si>
    <t>Subprefeitura</t>
  </si>
  <si>
    <t>Nº Árvores</t>
  </si>
  <si>
    <t>Ata Licitação</t>
  </si>
  <si>
    <t>Estoque</t>
  </si>
  <si>
    <t>Abertas</t>
  </si>
  <si>
    <t>Encerradas</t>
  </si>
  <si>
    <t>outubro</t>
  </si>
  <si>
    <t>Lote XVI 
Tonani</t>
  </si>
  <si>
    <t>Tonani</t>
  </si>
  <si>
    <t>Jabaquara</t>
  </si>
  <si>
    <t>Ipiranga</t>
  </si>
  <si>
    <t>Vila Mariana</t>
  </si>
  <si>
    <t>Lote XVII
Florestana</t>
  </si>
  <si>
    <t>Florestana</t>
  </si>
  <si>
    <t>Santo Amaro</t>
  </si>
  <si>
    <t>Pinheiros</t>
  </si>
  <si>
    <t>Butantã</t>
  </si>
  <si>
    <t>Nº 31/12</t>
  </si>
  <si>
    <t>Lote XIV
Florestana</t>
  </si>
  <si>
    <t>Lapa</t>
  </si>
  <si>
    <t xml:space="preserve">Sé </t>
  </si>
  <si>
    <t>Freguesia</t>
  </si>
  <si>
    <t>Casa Verde</t>
  </si>
  <si>
    <t>Lote XV
FBF</t>
  </si>
  <si>
    <t>Lote XIII
FBF</t>
  </si>
  <si>
    <t>FBF</t>
  </si>
  <si>
    <t>Pirituba</t>
  </si>
  <si>
    <t>Perus</t>
  </si>
  <si>
    <t>Santana</t>
  </si>
  <si>
    <t xml:space="preserve">Vila Maria </t>
  </si>
  <si>
    <t>Jaçanã</t>
  </si>
  <si>
    <t xml:space="preserve">Lote XXIV
Molise </t>
  </si>
  <si>
    <t>Lote XXII
Corpotec</t>
  </si>
  <si>
    <t>Mooca</t>
  </si>
  <si>
    <t xml:space="preserve">Penha </t>
  </si>
  <si>
    <t>Ermelino</t>
  </si>
  <si>
    <t>Aricanduva</t>
  </si>
  <si>
    <t>Vila Prudente</t>
  </si>
  <si>
    <t>Molise</t>
  </si>
  <si>
    <t>Corpotec</t>
  </si>
  <si>
    <t>Sapopemba</t>
  </si>
  <si>
    <t>São Mateus</t>
  </si>
  <si>
    <t>Itaquera</t>
  </si>
  <si>
    <t>São Miguel Pta</t>
  </si>
  <si>
    <t>Itaim Paulista</t>
  </si>
  <si>
    <t>Guaianases</t>
  </si>
  <si>
    <t xml:space="preserve">Cidade Tiradentes </t>
  </si>
  <si>
    <t>DZU</t>
  </si>
  <si>
    <t>Lote XIX Potenza</t>
  </si>
  <si>
    <t>Potenza</t>
  </si>
  <si>
    <t>Hiplan</t>
  </si>
  <si>
    <t>Demax</t>
  </si>
  <si>
    <t>Lote XXI 
Hiplan</t>
  </si>
  <si>
    <t>Lote XXIII
Hiplan</t>
  </si>
  <si>
    <t>Lote XX
Hiplan</t>
  </si>
  <si>
    <t>Arv/Equ</t>
  </si>
  <si>
    <t>Novembro</t>
  </si>
  <si>
    <t>Dezembro</t>
  </si>
  <si>
    <t>Janeiro</t>
  </si>
  <si>
    <t>Nº Eq.</t>
  </si>
  <si>
    <t>Saldo</t>
  </si>
  <si>
    <t>nº equipes</t>
  </si>
  <si>
    <t>Saldo Período</t>
  </si>
  <si>
    <t xml:space="preserve">Atualizado em </t>
  </si>
  <si>
    <t>TOTAIS</t>
  </si>
  <si>
    <t>Relatório Estoque - Poda e Remoção de Árvores</t>
  </si>
  <si>
    <t>Atualizado em</t>
  </si>
  <si>
    <t>21 de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</si>
</sst>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/>
    <xf numFmtId="0" fontId="1" fillId="0" borderId="0" xfId="0" applyFont="1"/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7" borderId="0" xfId="0" applyFont="1" applyFill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left" vertical="center"/>
    </xf>
    <xf numFmtId="3" fontId="1" fillId="7" borderId="0" xfId="0" applyNumberFormat="1" applyFont="1" applyFill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/>
    <xf numFmtId="16" fontId="3" fillId="8" borderId="3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4" borderId="4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16" fontId="8" fillId="8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8" borderId="0" xfId="0" applyFont="1" applyFill="1"/>
    <xf numFmtId="3" fontId="1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3" fontId="1" fillId="6" borderId="4" xfId="0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16" fontId="2" fillId="4" borderId="10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5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theme="4" tint="-0.24994659260841701"/>
      </font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0" tint="-0.14996795556505021"/>
        </patternFill>
      </fill>
    </dxf>
    <dxf>
      <font>
        <color theme="4" tint="-0.24994659260841701"/>
      </font>
    </dxf>
    <dxf>
      <font>
        <color rgb="FF9C0006"/>
      </font>
    </dxf>
    <dxf>
      <font>
        <color theme="4" tint="-0.24994659260841701"/>
      </font>
    </dxf>
    <dxf>
      <font>
        <color rgb="FF9C0006"/>
      </font>
    </dxf>
    <dxf>
      <font>
        <color theme="4" tint="-0.24994659260841701"/>
      </font>
    </dxf>
    <dxf>
      <font>
        <color rgb="FF9C0006"/>
      </font>
    </dxf>
    <dxf>
      <font>
        <color theme="4" tint="-0.24994659260841701"/>
      </font>
    </dxf>
    <dxf>
      <font>
        <color rgb="FF9C0006"/>
      </font>
    </dxf>
  </dxfs>
  <tableStyles count="0" defaultTableStyle="TableStyleMedium2" defaultPivotStyle="PivotStyleLight16"/>
  <colors>
    <mruColors>
      <color rgb="FFFAC8B4"/>
      <color rgb="FFFFB6C1"/>
      <color rgb="FFFFA07A"/>
      <color rgb="FFFA8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B70F-C4D3-44A1-97E2-648CBF414E1E}">
  <sheetPr>
    <pageSetUpPr fitToPage="1"/>
  </sheetPr>
  <dimension ref="A1:AA57"/>
  <sheetViews>
    <sheetView showGridLines="0" tabSelected="1" topLeftCell="C1" workbookViewId="0">
      <selection activeCell="U25" sqref="U25"/>
    </sheetView>
  </sheetViews>
  <sheetFormatPr defaultColWidth="8.7109375" defaultRowHeight="12.75" x14ac:dyDescent="0.2"/>
  <cols>
    <col min="1" max="1" width="0.7109375" style="2" customWidth="1"/>
    <col min="2" max="2" width="13.85546875" style="4" bestFit="1" customWidth="1"/>
    <col min="3" max="3" width="10" style="2" bestFit="1" customWidth="1"/>
    <col min="4" max="4" width="15.7109375" style="2" bestFit="1" customWidth="1"/>
    <col min="5" max="5" width="10.7109375" style="4" bestFit="1" customWidth="1"/>
    <col min="6" max="6" width="6.5703125" style="4" bestFit="1" customWidth="1"/>
    <col min="7" max="7" width="8.140625" style="4" bestFit="1" customWidth="1"/>
    <col min="8" max="8" width="9.28515625" style="4" bestFit="1" customWidth="1"/>
    <col min="9" max="9" width="8.140625" style="4" customWidth="1"/>
    <col min="10" max="10" width="7.85546875" style="4" bestFit="1" customWidth="1"/>
    <col min="11" max="11" width="10.5703125" style="4" bestFit="1" customWidth="1"/>
    <col min="12" max="12" width="7.7109375" style="4" bestFit="1" customWidth="1"/>
    <col min="13" max="13" width="8.140625" style="4" customWidth="1"/>
    <col min="14" max="14" width="7.85546875" style="4" bestFit="1" customWidth="1"/>
    <col min="15" max="15" width="10.5703125" style="4" bestFit="1" customWidth="1"/>
    <col min="16" max="16" width="7.7109375" style="4" bestFit="1" customWidth="1"/>
    <col min="17" max="17" width="8.140625" style="4" customWidth="1"/>
    <col min="18" max="18" width="7.85546875" style="4" bestFit="1" customWidth="1"/>
    <col min="19" max="19" width="10.5703125" style="4" bestFit="1" customWidth="1"/>
    <col min="20" max="20" width="6.28515625" style="4" bestFit="1" customWidth="1"/>
    <col min="21" max="21" width="8.140625" style="4" customWidth="1"/>
    <col min="22" max="22" width="7.85546875" style="4" bestFit="1" customWidth="1"/>
    <col min="23" max="23" width="10.5703125" style="4" bestFit="1" customWidth="1"/>
    <col min="24" max="24" width="7.7109375" style="4" bestFit="1" customWidth="1"/>
    <col min="25" max="25" width="8.140625" style="4" customWidth="1"/>
    <col min="26" max="26" width="13.42578125" style="2" bestFit="1" customWidth="1"/>
    <col min="27" max="27" width="0.7109375" style="2" customWidth="1"/>
    <col min="28" max="16384" width="8.7109375" style="2"/>
  </cols>
  <sheetData>
    <row r="1" spans="1:27" ht="3.75" customHeight="1" x14ac:dyDescent="0.2">
      <c r="A1" s="15"/>
      <c r="B1" s="14"/>
      <c r="C1" s="15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/>
      <c r="AA1" s="15"/>
    </row>
    <row r="2" spans="1:27" ht="26.25" customHeight="1" x14ac:dyDescent="0.35">
      <c r="A2" s="15"/>
      <c r="B2" s="20"/>
      <c r="C2" s="66" t="s">
        <v>73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37"/>
      <c r="AA2" s="15"/>
    </row>
    <row r="3" spans="1:27" ht="13.5" customHeight="1" x14ac:dyDescent="0.35">
      <c r="A3" s="15"/>
      <c r="B3" s="20"/>
      <c r="C3" s="46" t="s">
        <v>71</v>
      </c>
      <c r="D3" s="47" t="s">
        <v>75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42"/>
      <c r="S3" s="34"/>
      <c r="T3" s="34"/>
      <c r="U3" s="34"/>
      <c r="V3" s="34"/>
      <c r="W3" s="34"/>
      <c r="X3" s="34"/>
      <c r="Y3" s="34"/>
      <c r="Z3" s="37"/>
      <c r="AA3" s="15"/>
    </row>
    <row r="4" spans="1:27" ht="13.5" thickBot="1" x14ac:dyDescent="0.25">
      <c r="A4" s="15"/>
      <c r="B4" s="21"/>
      <c r="C4" s="22"/>
      <c r="D4" s="22"/>
      <c r="E4" s="21"/>
      <c r="F4" s="21"/>
      <c r="G4" s="21"/>
      <c r="H4" s="23" t="s">
        <v>69</v>
      </c>
      <c r="I4" s="23">
        <v>46295</v>
      </c>
      <c r="J4" s="60" t="s">
        <v>14</v>
      </c>
      <c r="K4" s="61"/>
      <c r="L4" s="62"/>
      <c r="M4" s="23">
        <v>46326</v>
      </c>
      <c r="N4" s="60" t="s">
        <v>64</v>
      </c>
      <c r="O4" s="61"/>
      <c r="P4" s="62"/>
      <c r="Q4" s="23">
        <v>46356</v>
      </c>
      <c r="R4" s="60" t="s">
        <v>65</v>
      </c>
      <c r="S4" s="61"/>
      <c r="T4" s="62"/>
      <c r="U4" s="23">
        <v>46387</v>
      </c>
      <c r="V4" s="60" t="s">
        <v>66</v>
      </c>
      <c r="W4" s="61"/>
      <c r="X4" s="62"/>
      <c r="Y4" s="33">
        <v>46043</v>
      </c>
      <c r="Z4" s="35"/>
      <c r="AA4" s="15"/>
    </row>
    <row r="5" spans="1:27" ht="18.75" customHeight="1" thickBot="1" x14ac:dyDescent="0.25">
      <c r="A5" s="15"/>
      <c r="B5" s="27" t="s">
        <v>10</v>
      </c>
      <c r="C5" s="28" t="s">
        <v>7</v>
      </c>
      <c r="D5" s="28" t="s">
        <v>8</v>
      </c>
      <c r="E5" s="29" t="s">
        <v>9</v>
      </c>
      <c r="F5" s="30" t="s">
        <v>67</v>
      </c>
      <c r="G5" s="29" t="s">
        <v>63</v>
      </c>
      <c r="H5" s="39" t="s">
        <v>25</v>
      </c>
      <c r="I5" s="40" t="s">
        <v>11</v>
      </c>
      <c r="J5" s="39" t="s">
        <v>12</v>
      </c>
      <c r="K5" s="39" t="s">
        <v>13</v>
      </c>
      <c r="L5" s="29" t="s">
        <v>68</v>
      </c>
      <c r="M5" s="31" t="s">
        <v>11</v>
      </c>
      <c r="N5" s="39" t="s">
        <v>12</v>
      </c>
      <c r="O5" s="39" t="s">
        <v>13</v>
      </c>
      <c r="P5" s="29" t="s">
        <v>68</v>
      </c>
      <c r="Q5" s="31" t="s">
        <v>11</v>
      </c>
      <c r="R5" s="39" t="s">
        <v>12</v>
      </c>
      <c r="S5" s="39" t="s">
        <v>13</v>
      </c>
      <c r="T5" s="29" t="s">
        <v>68</v>
      </c>
      <c r="U5" s="31" t="s">
        <v>11</v>
      </c>
      <c r="V5" s="39" t="s">
        <v>12</v>
      </c>
      <c r="W5" s="39" t="s">
        <v>13</v>
      </c>
      <c r="X5" s="29" t="s">
        <v>68</v>
      </c>
      <c r="Y5" s="31" t="s">
        <v>11</v>
      </c>
      <c r="Z5" s="41" t="s">
        <v>70</v>
      </c>
      <c r="AA5" s="15"/>
    </row>
    <row r="6" spans="1:27" ht="12.75" customHeight="1" x14ac:dyDescent="0.2">
      <c r="A6" s="15"/>
      <c r="B6" s="59" t="s">
        <v>6</v>
      </c>
      <c r="C6" s="9" t="s">
        <v>0</v>
      </c>
      <c r="D6" s="9" t="s">
        <v>1</v>
      </c>
      <c r="E6" s="24">
        <v>5481</v>
      </c>
      <c r="F6" s="25">
        <v>3</v>
      </c>
      <c r="G6" s="24">
        <f>E6/F6</f>
        <v>1827</v>
      </c>
      <c r="H6" s="38">
        <v>3</v>
      </c>
      <c r="I6" s="26">
        <v>12</v>
      </c>
      <c r="J6" s="38">
        <v>19</v>
      </c>
      <c r="K6" s="38">
        <v>18</v>
      </c>
      <c r="L6" s="24">
        <v>1</v>
      </c>
      <c r="M6" s="26">
        <v>13</v>
      </c>
      <c r="N6" s="38">
        <v>16</v>
      </c>
      <c r="O6" s="38">
        <v>14</v>
      </c>
      <c r="P6" s="24">
        <v>2</v>
      </c>
      <c r="Q6" s="26">
        <v>15</v>
      </c>
      <c r="R6" s="38">
        <v>26</v>
      </c>
      <c r="S6" s="38">
        <v>34</v>
      </c>
      <c r="T6" s="24">
        <v>-8</v>
      </c>
      <c r="U6" s="26">
        <v>7</v>
      </c>
      <c r="V6" s="38">
        <v>15</v>
      </c>
      <c r="W6" s="38">
        <v>7</v>
      </c>
      <c r="X6" s="24">
        <v>8</v>
      </c>
      <c r="Y6" s="26">
        <v>15</v>
      </c>
      <c r="Z6" s="43">
        <f>Y6-I6</f>
        <v>3</v>
      </c>
      <c r="AA6" s="15"/>
    </row>
    <row r="7" spans="1:27" x14ac:dyDescent="0.2">
      <c r="A7" s="15"/>
      <c r="B7" s="57"/>
      <c r="C7" s="1" t="s">
        <v>0</v>
      </c>
      <c r="D7" s="1" t="s">
        <v>2</v>
      </c>
      <c r="E7" s="3">
        <v>15701</v>
      </c>
      <c r="F7" s="5">
        <v>4</v>
      </c>
      <c r="G7" s="3">
        <f t="shared" ref="G7:G39" si="0">E7/F7</f>
        <v>3925.25</v>
      </c>
      <c r="H7" s="36">
        <v>4</v>
      </c>
      <c r="I7" s="12">
        <v>277</v>
      </c>
      <c r="J7" s="36">
        <v>136</v>
      </c>
      <c r="K7" s="36">
        <v>154</v>
      </c>
      <c r="L7" s="24">
        <v>-18</v>
      </c>
      <c r="M7" s="12">
        <v>259</v>
      </c>
      <c r="N7" s="36">
        <v>80</v>
      </c>
      <c r="O7" s="36">
        <v>186</v>
      </c>
      <c r="P7" s="24">
        <v>-106</v>
      </c>
      <c r="Q7" s="12">
        <v>153</v>
      </c>
      <c r="R7" s="36">
        <v>231</v>
      </c>
      <c r="S7" s="36">
        <v>144</v>
      </c>
      <c r="T7" s="24">
        <v>87</v>
      </c>
      <c r="U7" s="12">
        <v>240</v>
      </c>
      <c r="V7" s="36">
        <v>93</v>
      </c>
      <c r="W7" s="36">
        <v>139</v>
      </c>
      <c r="X7" s="24">
        <v>-46</v>
      </c>
      <c r="Y7" s="12">
        <v>194</v>
      </c>
      <c r="Z7" s="44">
        <f>Y7-I7</f>
        <v>-83</v>
      </c>
      <c r="AA7" s="15"/>
    </row>
    <row r="8" spans="1:27" x14ac:dyDescent="0.2">
      <c r="A8" s="15"/>
      <c r="B8" s="57"/>
      <c r="C8" s="1" t="s">
        <v>0</v>
      </c>
      <c r="D8" s="1" t="s">
        <v>4</v>
      </c>
      <c r="E8" s="3">
        <v>26472</v>
      </c>
      <c r="F8" s="5">
        <v>4</v>
      </c>
      <c r="G8" s="3">
        <f t="shared" si="0"/>
        <v>6618</v>
      </c>
      <c r="H8" s="36">
        <v>5</v>
      </c>
      <c r="I8" s="12">
        <v>552</v>
      </c>
      <c r="J8" s="36">
        <v>137</v>
      </c>
      <c r="K8" s="36">
        <v>204</v>
      </c>
      <c r="L8" s="24">
        <v>-67</v>
      </c>
      <c r="M8" s="12">
        <v>485</v>
      </c>
      <c r="N8" s="36">
        <v>138</v>
      </c>
      <c r="O8" s="36">
        <v>166</v>
      </c>
      <c r="P8" s="24">
        <v>-28</v>
      </c>
      <c r="Q8" s="12">
        <v>457</v>
      </c>
      <c r="R8" s="36">
        <v>232</v>
      </c>
      <c r="S8" s="36">
        <v>191</v>
      </c>
      <c r="T8" s="24">
        <v>41</v>
      </c>
      <c r="U8" s="12">
        <v>498</v>
      </c>
      <c r="V8" s="36">
        <v>106</v>
      </c>
      <c r="W8" s="36">
        <v>150</v>
      </c>
      <c r="X8" s="24">
        <v>-44</v>
      </c>
      <c r="Y8" s="12">
        <v>454</v>
      </c>
      <c r="Z8" s="44">
        <f t="shared" ref="Z8:Z39" si="1">Y8-I8</f>
        <v>-98</v>
      </c>
      <c r="AA8" s="15"/>
    </row>
    <row r="9" spans="1:27" x14ac:dyDescent="0.2">
      <c r="A9" s="15"/>
      <c r="B9" s="57"/>
      <c r="C9" s="1" t="s">
        <v>0</v>
      </c>
      <c r="D9" s="1" t="s">
        <v>3</v>
      </c>
      <c r="E9" s="3">
        <v>36477</v>
      </c>
      <c r="F9" s="5">
        <v>5</v>
      </c>
      <c r="G9" s="3">
        <f t="shared" si="0"/>
        <v>7295.4</v>
      </c>
      <c r="H9" s="36">
        <v>7</v>
      </c>
      <c r="I9" s="12">
        <v>555</v>
      </c>
      <c r="J9" s="36">
        <v>372</v>
      </c>
      <c r="K9" s="36">
        <v>410</v>
      </c>
      <c r="L9" s="24">
        <v>-38</v>
      </c>
      <c r="M9" s="12">
        <v>517</v>
      </c>
      <c r="N9" s="36">
        <v>528</v>
      </c>
      <c r="O9" s="36">
        <v>414</v>
      </c>
      <c r="P9" s="24">
        <v>114</v>
      </c>
      <c r="Q9" s="12">
        <v>631</v>
      </c>
      <c r="R9" s="36">
        <v>392</v>
      </c>
      <c r="S9" s="36">
        <v>781</v>
      </c>
      <c r="T9" s="24">
        <v>-389</v>
      </c>
      <c r="U9" s="12">
        <v>242</v>
      </c>
      <c r="V9" s="36">
        <v>367</v>
      </c>
      <c r="W9" s="36">
        <v>233</v>
      </c>
      <c r="X9" s="24">
        <v>134</v>
      </c>
      <c r="Y9" s="12">
        <v>376</v>
      </c>
      <c r="Z9" s="44">
        <f t="shared" si="1"/>
        <v>-179</v>
      </c>
      <c r="AA9" s="15"/>
    </row>
    <row r="10" spans="1:27" x14ac:dyDescent="0.2">
      <c r="A10" s="15"/>
      <c r="B10" s="58"/>
      <c r="C10" s="1" t="s">
        <v>0</v>
      </c>
      <c r="D10" s="1" t="s">
        <v>5</v>
      </c>
      <c r="E10" s="3">
        <v>16088</v>
      </c>
      <c r="F10" s="5">
        <v>4</v>
      </c>
      <c r="G10" s="3">
        <f t="shared" si="0"/>
        <v>4022</v>
      </c>
      <c r="H10" s="36">
        <v>4</v>
      </c>
      <c r="I10" s="12">
        <v>561</v>
      </c>
      <c r="J10" s="36">
        <v>127</v>
      </c>
      <c r="K10" s="36">
        <v>200</v>
      </c>
      <c r="L10" s="24">
        <v>-73</v>
      </c>
      <c r="M10" s="12">
        <v>488</v>
      </c>
      <c r="N10" s="36">
        <v>81</v>
      </c>
      <c r="O10" s="36">
        <v>177</v>
      </c>
      <c r="P10" s="24">
        <v>-96</v>
      </c>
      <c r="Q10" s="12">
        <v>392</v>
      </c>
      <c r="R10" s="36">
        <v>187</v>
      </c>
      <c r="S10" s="36">
        <v>99</v>
      </c>
      <c r="T10" s="24">
        <v>88</v>
      </c>
      <c r="U10" s="12">
        <v>480</v>
      </c>
      <c r="V10" s="36">
        <v>99</v>
      </c>
      <c r="W10" s="36">
        <v>163</v>
      </c>
      <c r="X10" s="24">
        <v>-64</v>
      </c>
      <c r="Y10" s="12">
        <v>416</v>
      </c>
      <c r="Z10" s="44">
        <f t="shared" si="1"/>
        <v>-145</v>
      </c>
      <c r="AA10" s="15"/>
    </row>
    <row r="11" spans="1:27" ht="12.75" customHeight="1" x14ac:dyDescent="0.2">
      <c r="A11" s="15"/>
      <c r="B11" s="56" t="s">
        <v>15</v>
      </c>
      <c r="C11" s="1" t="s">
        <v>16</v>
      </c>
      <c r="D11" s="1" t="s">
        <v>17</v>
      </c>
      <c r="E11" s="3">
        <v>8721</v>
      </c>
      <c r="F11" s="5">
        <v>3</v>
      </c>
      <c r="G11" s="3">
        <f t="shared" si="0"/>
        <v>2907</v>
      </c>
      <c r="H11" s="36">
        <v>3</v>
      </c>
      <c r="I11" s="12">
        <v>1</v>
      </c>
      <c r="J11" s="36">
        <v>92</v>
      </c>
      <c r="K11" s="36">
        <v>84</v>
      </c>
      <c r="L11" s="24">
        <v>8</v>
      </c>
      <c r="M11" s="12">
        <v>9</v>
      </c>
      <c r="N11" s="36">
        <v>55</v>
      </c>
      <c r="O11" s="36">
        <v>59</v>
      </c>
      <c r="P11" s="24">
        <v>-4</v>
      </c>
      <c r="Q11" s="12">
        <v>5</v>
      </c>
      <c r="R11" s="36">
        <v>134</v>
      </c>
      <c r="S11" s="36">
        <v>130</v>
      </c>
      <c r="T11" s="24">
        <v>4</v>
      </c>
      <c r="U11" s="12">
        <v>9</v>
      </c>
      <c r="V11" s="36">
        <v>82</v>
      </c>
      <c r="W11" s="36">
        <v>45</v>
      </c>
      <c r="X11" s="24">
        <v>37</v>
      </c>
      <c r="Y11" s="12">
        <v>46</v>
      </c>
      <c r="Z11" s="44">
        <f t="shared" si="1"/>
        <v>45</v>
      </c>
      <c r="AA11" s="15"/>
    </row>
    <row r="12" spans="1:27" x14ac:dyDescent="0.2">
      <c r="A12" s="15"/>
      <c r="B12" s="57"/>
      <c r="C12" s="1" t="s">
        <v>16</v>
      </c>
      <c r="D12" s="1" t="s">
        <v>18</v>
      </c>
      <c r="E12" s="3">
        <v>28817</v>
      </c>
      <c r="F12" s="5">
        <v>5</v>
      </c>
      <c r="G12" s="3">
        <f t="shared" si="0"/>
        <v>5763.4</v>
      </c>
      <c r="H12" s="36">
        <v>6</v>
      </c>
      <c r="I12" s="12">
        <v>547</v>
      </c>
      <c r="J12" s="36">
        <v>230</v>
      </c>
      <c r="K12" s="36">
        <v>168</v>
      </c>
      <c r="L12" s="24">
        <v>62</v>
      </c>
      <c r="M12" s="12">
        <v>609</v>
      </c>
      <c r="N12" s="36">
        <v>190</v>
      </c>
      <c r="O12" s="36">
        <v>205</v>
      </c>
      <c r="P12" s="24">
        <v>-15</v>
      </c>
      <c r="Q12" s="12">
        <v>594</v>
      </c>
      <c r="R12" s="36">
        <v>375</v>
      </c>
      <c r="S12" s="36">
        <v>220</v>
      </c>
      <c r="T12" s="24">
        <v>155</v>
      </c>
      <c r="U12" s="12">
        <v>749</v>
      </c>
      <c r="V12" s="36">
        <v>158</v>
      </c>
      <c r="W12" s="36">
        <v>307</v>
      </c>
      <c r="X12" s="24">
        <v>-149</v>
      </c>
      <c r="Y12" s="12">
        <v>600</v>
      </c>
      <c r="Z12" s="44">
        <f t="shared" si="1"/>
        <v>53</v>
      </c>
      <c r="AA12" s="15"/>
    </row>
    <row r="13" spans="1:27" x14ac:dyDescent="0.2">
      <c r="A13" s="15"/>
      <c r="B13" s="58"/>
      <c r="C13" s="1" t="s">
        <v>16</v>
      </c>
      <c r="D13" s="1" t="s">
        <v>19</v>
      </c>
      <c r="E13" s="3">
        <v>32672</v>
      </c>
      <c r="F13" s="5">
        <v>7</v>
      </c>
      <c r="G13" s="3">
        <f t="shared" si="0"/>
        <v>4667.4285714285716</v>
      </c>
      <c r="H13" s="36">
        <v>7</v>
      </c>
      <c r="I13" s="12">
        <v>553</v>
      </c>
      <c r="J13" s="36">
        <v>301</v>
      </c>
      <c r="K13" s="36">
        <v>272</v>
      </c>
      <c r="L13" s="24">
        <v>29</v>
      </c>
      <c r="M13" s="12">
        <v>582</v>
      </c>
      <c r="N13" s="36">
        <v>192</v>
      </c>
      <c r="O13" s="36">
        <v>374</v>
      </c>
      <c r="P13" s="24">
        <v>-182</v>
      </c>
      <c r="Q13" s="12">
        <v>400</v>
      </c>
      <c r="R13" s="36">
        <v>486</v>
      </c>
      <c r="S13" s="36">
        <v>316</v>
      </c>
      <c r="T13" s="24">
        <v>170</v>
      </c>
      <c r="U13" s="12">
        <v>570</v>
      </c>
      <c r="V13" s="36">
        <v>105</v>
      </c>
      <c r="W13" s="36">
        <v>155</v>
      </c>
      <c r="X13" s="24">
        <v>-50</v>
      </c>
      <c r="Y13" s="12">
        <v>520</v>
      </c>
      <c r="Z13" s="44">
        <f t="shared" si="1"/>
        <v>-33</v>
      </c>
      <c r="AA13" s="15"/>
    </row>
    <row r="14" spans="1:27" ht="12.75" customHeight="1" x14ac:dyDescent="0.2">
      <c r="A14" s="15"/>
      <c r="B14" s="56" t="s">
        <v>20</v>
      </c>
      <c r="C14" s="1" t="s">
        <v>21</v>
      </c>
      <c r="D14" s="1" t="s">
        <v>22</v>
      </c>
      <c r="E14" s="3">
        <v>39466</v>
      </c>
      <c r="F14" s="5">
        <v>4</v>
      </c>
      <c r="G14" s="3">
        <f t="shared" si="0"/>
        <v>9866.5</v>
      </c>
      <c r="H14" s="36">
        <v>6</v>
      </c>
      <c r="I14" s="12">
        <v>434</v>
      </c>
      <c r="J14" s="36">
        <v>269</v>
      </c>
      <c r="K14" s="36">
        <v>332</v>
      </c>
      <c r="L14" s="24">
        <v>-63</v>
      </c>
      <c r="M14" s="12">
        <v>371</v>
      </c>
      <c r="N14" s="36">
        <v>257</v>
      </c>
      <c r="O14" s="36">
        <v>252</v>
      </c>
      <c r="P14" s="24">
        <v>5</v>
      </c>
      <c r="Q14" s="12">
        <v>376</v>
      </c>
      <c r="R14" s="36">
        <v>272</v>
      </c>
      <c r="S14" s="36">
        <v>383</v>
      </c>
      <c r="T14" s="24">
        <v>-111</v>
      </c>
      <c r="U14" s="12">
        <v>265</v>
      </c>
      <c r="V14" s="36">
        <v>202</v>
      </c>
      <c r="W14" s="36">
        <v>277</v>
      </c>
      <c r="X14" s="24">
        <v>-75</v>
      </c>
      <c r="Y14" s="12">
        <v>190</v>
      </c>
      <c r="Z14" s="44">
        <f t="shared" si="1"/>
        <v>-244</v>
      </c>
      <c r="AA14" s="15"/>
    </row>
    <row r="15" spans="1:27" x14ac:dyDescent="0.2">
      <c r="A15" s="15"/>
      <c r="B15" s="57"/>
      <c r="C15" s="1" t="s">
        <v>21</v>
      </c>
      <c r="D15" s="1" t="s">
        <v>23</v>
      </c>
      <c r="E15" s="3">
        <v>49883</v>
      </c>
      <c r="F15" s="5">
        <v>6</v>
      </c>
      <c r="G15" s="3">
        <f t="shared" si="0"/>
        <v>8313.8333333333339</v>
      </c>
      <c r="H15" s="36">
        <v>6</v>
      </c>
      <c r="I15" s="12">
        <v>247</v>
      </c>
      <c r="J15" s="36">
        <v>278</v>
      </c>
      <c r="K15" s="36">
        <v>274</v>
      </c>
      <c r="L15" s="24">
        <v>4</v>
      </c>
      <c r="M15" s="12">
        <v>251</v>
      </c>
      <c r="N15" s="36">
        <v>189</v>
      </c>
      <c r="O15" s="36">
        <v>223</v>
      </c>
      <c r="P15" s="24">
        <v>-34</v>
      </c>
      <c r="Q15" s="12">
        <v>217</v>
      </c>
      <c r="R15" s="36">
        <v>313</v>
      </c>
      <c r="S15" s="36">
        <v>200</v>
      </c>
      <c r="T15" s="24">
        <v>113</v>
      </c>
      <c r="U15" s="12">
        <v>330</v>
      </c>
      <c r="V15" s="36">
        <v>180</v>
      </c>
      <c r="W15" s="36">
        <v>155</v>
      </c>
      <c r="X15" s="24">
        <v>25</v>
      </c>
      <c r="Y15" s="12">
        <v>355</v>
      </c>
      <c r="Z15" s="44">
        <f t="shared" si="1"/>
        <v>108</v>
      </c>
      <c r="AA15" s="15"/>
    </row>
    <row r="16" spans="1:27" x14ac:dyDescent="0.2">
      <c r="A16" s="15"/>
      <c r="B16" s="58"/>
      <c r="C16" s="1" t="s">
        <v>21</v>
      </c>
      <c r="D16" s="1" t="s">
        <v>24</v>
      </c>
      <c r="E16" s="3">
        <v>49160</v>
      </c>
      <c r="F16" s="5">
        <v>6</v>
      </c>
      <c r="G16" s="3">
        <f t="shared" si="0"/>
        <v>8193.3333333333339</v>
      </c>
      <c r="H16" s="36">
        <v>6</v>
      </c>
      <c r="I16" s="12">
        <v>825</v>
      </c>
      <c r="J16" s="36">
        <v>254</v>
      </c>
      <c r="K16" s="36">
        <v>283</v>
      </c>
      <c r="L16" s="24">
        <v>-29</v>
      </c>
      <c r="M16" s="12">
        <v>796</v>
      </c>
      <c r="N16" s="36">
        <v>213</v>
      </c>
      <c r="O16" s="36">
        <v>167</v>
      </c>
      <c r="P16" s="24">
        <v>46</v>
      </c>
      <c r="Q16" s="12">
        <v>842</v>
      </c>
      <c r="R16" s="36">
        <v>364</v>
      </c>
      <c r="S16" s="36">
        <v>194</v>
      </c>
      <c r="T16" s="24">
        <v>170</v>
      </c>
      <c r="U16" s="12">
        <v>1012</v>
      </c>
      <c r="V16" s="36">
        <v>183</v>
      </c>
      <c r="W16" s="36">
        <v>384</v>
      </c>
      <c r="X16" s="24">
        <v>-201</v>
      </c>
      <c r="Y16" s="12">
        <v>811</v>
      </c>
      <c r="Z16" s="44">
        <f t="shared" si="1"/>
        <v>-14</v>
      </c>
      <c r="AA16" s="15"/>
    </row>
    <row r="17" spans="1:27" ht="12.75" customHeight="1" x14ac:dyDescent="0.2">
      <c r="A17" s="15"/>
      <c r="B17" s="56" t="s">
        <v>26</v>
      </c>
      <c r="C17" s="1" t="s">
        <v>21</v>
      </c>
      <c r="D17" s="1" t="s">
        <v>27</v>
      </c>
      <c r="E17" s="3">
        <v>26745</v>
      </c>
      <c r="F17" s="5">
        <v>6</v>
      </c>
      <c r="G17" s="3">
        <f t="shared" si="0"/>
        <v>4457.5</v>
      </c>
      <c r="H17" s="36">
        <v>6</v>
      </c>
      <c r="I17" s="12">
        <v>605</v>
      </c>
      <c r="J17" s="36">
        <v>174</v>
      </c>
      <c r="K17" s="36">
        <v>190</v>
      </c>
      <c r="L17" s="24">
        <v>-16</v>
      </c>
      <c r="M17" s="12">
        <v>589</v>
      </c>
      <c r="N17" s="36">
        <v>123</v>
      </c>
      <c r="O17" s="36">
        <v>276</v>
      </c>
      <c r="P17" s="24">
        <v>-153</v>
      </c>
      <c r="Q17" s="12">
        <v>436</v>
      </c>
      <c r="R17" s="36">
        <v>248</v>
      </c>
      <c r="S17" s="36">
        <v>147</v>
      </c>
      <c r="T17" s="24">
        <v>101</v>
      </c>
      <c r="U17" s="12">
        <v>537</v>
      </c>
      <c r="V17" s="36">
        <v>158</v>
      </c>
      <c r="W17" s="36">
        <v>169</v>
      </c>
      <c r="X17" s="24">
        <v>-11</v>
      </c>
      <c r="Y17" s="12">
        <v>526</v>
      </c>
      <c r="Z17" s="44">
        <f t="shared" si="1"/>
        <v>-79</v>
      </c>
      <c r="AA17" s="15"/>
    </row>
    <row r="18" spans="1:27" x14ac:dyDescent="0.2">
      <c r="A18" s="15"/>
      <c r="B18" s="57"/>
      <c r="C18" s="1" t="s">
        <v>21</v>
      </c>
      <c r="D18" s="1" t="s">
        <v>28</v>
      </c>
      <c r="E18" s="3">
        <v>22493</v>
      </c>
      <c r="F18" s="5">
        <v>18</v>
      </c>
      <c r="G18" s="3">
        <f t="shared" si="0"/>
        <v>1249.6111111111111</v>
      </c>
      <c r="H18" s="36">
        <v>18</v>
      </c>
      <c r="I18" s="12">
        <v>589</v>
      </c>
      <c r="J18" s="36">
        <v>274</v>
      </c>
      <c r="K18" s="36">
        <v>415</v>
      </c>
      <c r="L18" s="24">
        <v>-141</v>
      </c>
      <c r="M18" s="12">
        <v>448</v>
      </c>
      <c r="N18" s="36">
        <v>237</v>
      </c>
      <c r="O18" s="36">
        <v>156</v>
      </c>
      <c r="P18" s="24">
        <v>81</v>
      </c>
      <c r="Q18" s="12">
        <v>529</v>
      </c>
      <c r="R18" s="36">
        <v>423</v>
      </c>
      <c r="S18" s="36">
        <v>403</v>
      </c>
      <c r="T18" s="24">
        <v>20</v>
      </c>
      <c r="U18" s="12">
        <v>549</v>
      </c>
      <c r="V18" s="36">
        <v>171</v>
      </c>
      <c r="W18" s="36">
        <v>217</v>
      </c>
      <c r="X18" s="24">
        <v>-46</v>
      </c>
      <c r="Y18" s="12">
        <v>503</v>
      </c>
      <c r="Z18" s="44">
        <f t="shared" si="1"/>
        <v>-86</v>
      </c>
      <c r="AA18" s="15"/>
    </row>
    <row r="19" spans="1:27" x14ac:dyDescent="0.2">
      <c r="A19" s="15"/>
      <c r="B19" s="57"/>
      <c r="C19" s="1" t="s">
        <v>21</v>
      </c>
      <c r="D19" s="1" t="s">
        <v>29</v>
      </c>
      <c r="E19" s="3">
        <v>11785</v>
      </c>
      <c r="F19" s="5">
        <v>4</v>
      </c>
      <c r="G19" s="3">
        <f t="shared" si="0"/>
        <v>2946.25</v>
      </c>
      <c r="H19" s="36">
        <v>4</v>
      </c>
      <c r="I19" s="12">
        <v>515</v>
      </c>
      <c r="J19" s="36">
        <v>83</v>
      </c>
      <c r="K19" s="36">
        <v>203</v>
      </c>
      <c r="L19" s="24">
        <v>-120</v>
      </c>
      <c r="M19" s="12">
        <v>395</v>
      </c>
      <c r="N19" s="36">
        <v>90</v>
      </c>
      <c r="O19" s="36">
        <v>111</v>
      </c>
      <c r="P19" s="24">
        <v>-21</v>
      </c>
      <c r="Q19" s="12">
        <v>374</v>
      </c>
      <c r="R19" s="36">
        <v>129</v>
      </c>
      <c r="S19" s="36">
        <v>91</v>
      </c>
      <c r="T19" s="24">
        <v>38</v>
      </c>
      <c r="U19" s="12">
        <v>412</v>
      </c>
      <c r="V19" s="36">
        <v>69</v>
      </c>
      <c r="W19" s="36">
        <v>286</v>
      </c>
      <c r="X19" s="24">
        <v>-217</v>
      </c>
      <c r="Y19" s="12">
        <v>195</v>
      </c>
      <c r="Z19" s="44">
        <f t="shared" si="1"/>
        <v>-320</v>
      </c>
      <c r="AA19" s="15"/>
    </row>
    <row r="20" spans="1:27" x14ac:dyDescent="0.2">
      <c r="A20" s="15"/>
      <c r="B20" s="58"/>
      <c r="C20" s="1" t="s">
        <v>21</v>
      </c>
      <c r="D20" s="1" t="s">
        <v>30</v>
      </c>
      <c r="E20" s="3">
        <v>15783</v>
      </c>
      <c r="F20" s="5">
        <v>5</v>
      </c>
      <c r="G20" s="3">
        <f t="shared" si="0"/>
        <v>3156.6</v>
      </c>
      <c r="H20" s="36">
        <v>5</v>
      </c>
      <c r="I20" s="12">
        <v>812</v>
      </c>
      <c r="J20" s="36">
        <v>87</v>
      </c>
      <c r="K20" s="36">
        <v>187</v>
      </c>
      <c r="L20" s="24">
        <v>-100</v>
      </c>
      <c r="M20" s="12">
        <v>712</v>
      </c>
      <c r="N20" s="36">
        <v>106</v>
      </c>
      <c r="O20" s="36">
        <v>185</v>
      </c>
      <c r="P20" s="24">
        <v>-79</v>
      </c>
      <c r="Q20" s="12">
        <v>633</v>
      </c>
      <c r="R20" s="36">
        <v>145</v>
      </c>
      <c r="S20" s="36">
        <v>426</v>
      </c>
      <c r="T20" s="24">
        <v>-281</v>
      </c>
      <c r="U20" s="12">
        <v>352</v>
      </c>
      <c r="V20" s="36">
        <v>72</v>
      </c>
      <c r="W20" s="36">
        <v>383</v>
      </c>
      <c r="X20" s="24">
        <v>-311</v>
      </c>
      <c r="Y20" s="12">
        <v>41</v>
      </c>
      <c r="Z20" s="44">
        <f t="shared" si="1"/>
        <v>-771</v>
      </c>
      <c r="AA20" s="15"/>
    </row>
    <row r="21" spans="1:27" ht="12.75" customHeight="1" x14ac:dyDescent="0.2">
      <c r="A21" s="15"/>
      <c r="B21" s="56" t="s">
        <v>31</v>
      </c>
      <c r="C21" s="1" t="s">
        <v>33</v>
      </c>
      <c r="D21" s="1" t="s">
        <v>35</v>
      </c>
      <c r="E21" s="3">
        <v>9526</v>
      </c>
      <c r="F21" s="5">
        <v>3</v>
      </c>
      <c r="G21" s="3">
        <f t="shared" si="0"/>
        <v>3175.3333333333335</v>
      </c>
      <c r="H21" s="36">
        <v>3</v>
      </c>
      <c r="I21" s="12">
        <v>122</v>
      </c>
      <c r="J21" s="36">
        <v>27</v>
      </c>
      <c r="K21" s="36">
        <v>22</v>
      </c>
      <c r="L21" s="24">
        <v>5</v>
      </c>
      <c r="M21" s="12">
        <v>127</v>
      </c>
      <c r="N21" s="36">
        <v>38</v>
      </c>
      <c r="O21" s="36">
        <v>46</v>
      </c>
      <c r="P21" s="24">
        <v>-8</v>
      </c>
      <c r="Q21" s="12">
        <v>119</v>
      </c>
      <c r="R21" s="36">
        <v>42</v>
      </c>
      <c r="S21" s="36">
        <v>97</v>
      </c>
      <c r="T21" s="24">
        <v>-55</v>
      </c>
      <c r="U21" s="12">
        <v>64</v>
      </c>
      <c r="V21" s="36">
        <v>41</v>
      </c>
      <c r="W21" s="36">
        <v>69</v>
      </c>
      <c r="X21" s="24">
        <v>-28</v>
      </c>
      <c r="Y21" s="12">
        <v>36</v>
      </c>
      <c r="Z21" s="44">
        <f t="shared" si="1"/>
        <v>-86</v>
      </c>
      <c r="AA21" s="15"/>
    </row>
    <row r="22" spans="1:27" x14ac:dyDescent="0.2">
      <c r="A22" s="15"/>
      <c r="B22" s="58"/>
      <c r="C22" s="1" t="s">
        <v>33</v>
      </c>
      <c r="D22" s="1" t="s">
        <v>34</v>
      </c>
      <c r="E22" s="3">
        <v>26960</v>
      </c>
      <c r="F22" s="5">
        <v>6</v>
      </c>
      <c r="G22" s="3">
        <f t="shared" si="0"/>
        <v>4493.333333333333</v>
      </c>
      <c r="H22" s="36">
        <v>6</v>
      </c>
      <c r="I22" s="12">
        <v>2038</v>
      </c>
      <c r="J22" s="36">
        <v>167</v>
      </c>
      <c r="K22" s="36">
        <v>218</v>
      </c>
      <c r="L22" s="24">
        <v>-51</v>
      </c>
      <c r="M22" s="12">
        <v>1987</v>
      </c>
      <c r="N22" s="36">
        <v>104</v>
      </c>
      <c r="O22" s="36">
        <v>149</v>
      </c>
      <c r="P22" s="24">
        <v>-45</v>
      </c>
      <c r="Q22" s="12">
        <v>1942</v>
      </c>
      <c r="R22" s="36">
        <v>320</v>
      </c>
      <c r="S22" s="36">
        <v>185</v>
      </c>
      <c r="T22" s="24">
        <v>135</v>
      </c>
      <c r="U22" s="12">
        <v>2077</v>
      </c>
      <c r="V22" s="36">
        <v>116</v>
      </c>
      <c r="W22" s="36">
        <v>363</v>
      </c>
      <c r="X22" s="24">
        <v>-247</v>
      </c>
      <c r="Y22" s="12">
        <v>1830</v>
      </c>
      <c r="Z22" s="44">
        <f t="shared" si="1"/>
        <v>-208</v>
      </c>
      <c r="AA22" s="15"/>
    </row>
    <row r="23" spans="1:27" ht="12.75" customHeight="1" x14ac:dyDescent="0.2">
      <c r="A23" s="15"/>
      <c r="B23" s="56" t="s">
        <v>32</v>
      </c>
      <c r="C23" s="1" t="s">
        <v>33</v>
      </c>
      <c r="D23" s="1" t="s">
        <v>36</v>
      </c>
      <c r="E23" s="3">
        <v>21234</v>
      </c>
      <c r="F23" s="5">
        <v>4</v>
      </c>
      <c r="G23" s="3">
        <f t="shared" si="0"/>
        <v>5308.5</v>
      </c>
      <c r="H23" s="36">
        <v>4</v>
      </c>
      <c r="I23" s="12">
        <v>142</v>
      </c>
      <c r="J23" s="36">
        <v>126</v>
      </c>
      <c r="K23" s="36">
        <v>89</v>
      </c>
      <c r="L23" s="24">
        <v>37</v>
      </c>
      <c r="M23" s="12">
        <v>179</v>
      </c>
      <c r="N23" s="36">
        <v>106</v>
      </c>
      <c r="O23" s="36">
        <v>106</v>
      </c>
      <c r="P23" s="24">
        <v>0</v>
      </c>
      <c r="Q23" s="12">
        <v>179</v>
      </c>
      <c r="R23" s="36">
        <v>187</v>
      </c>
      <c r="S23" s="36">
        <v>160</v>
      </c>
      <c r="T23" s="24">
        <v>27</v>
      </c>
      <c r="U23" s="12">
        <v>206</v>
      </c>
      <c r="V23" s="36">
        <v>150</v>
      </c>
      <c r="W23" s="36">
        <v>257</v>
      </c>
      <c r="X23" s="24">
        <v>-107</v>
      </c>
      <c r="Y23" s="12">
        <v>99</v>
      </c>
      <c r="Z23" s="44">
        <f t="shared" si="1"/>
        <v>-43</v>
      </c>
      <c r="AA23" s="15"/>
    </row>
    <row r="24" spans="1:27" x14ac:dyDescent="0.2">
      <c r="A24" s="15"/>
      <c r="B24" s="57"/>
      <c r="C24" s="1" t="s">
        <v>33</v>
      </c>
      <c r="D24" s="1" t="s">
        <v>37</v>
      </c>
      <c r="E24" s="3">
        <v>20370</v>
      </c>
      <c r="F24" s="5">
        <v>4</v>
      </c>
      <c r="G24" s="3">
        <f t="shared" si="0"/>
        <v>5092.5</v>
      </c>
      <c r="H24" s="36">
        <v>5</v>
      </c>
      <c r="I24" s="12">
        <v>890</v>
      </c>
      <c r="J24" s="36">
        <v>86</v>
      </c>
      <c r="K24" s="36">
        <v>89</v>
      </c>
      <c r="L24" s="24">
        <v>-3</v>
      </c>
      <c r="M24" s="12">
        <v>887</v>
      </c>
      <c r="N24" s="36">
        <v>124</v>
      </c>
      <c r="O24" s="36">
        <v>150</v>
      </c>
      <c r="P24" s="24">
        <v>-26</v>
      </c>
      <c r="Q24" s="12">
        <v>861</v>
      </c>
      <c r="R24" s="36">
        <v>142</v>
      </c>
      <c r="S24" s="36">
        <v>395</v>
      </c>
      <c r="T24" s="24">
        <v>-253</v>
      </c>
      <c r="U24" s="12">
        <v>608</v>
      </c>
      <c r="V24" s="36">
        <v>104</v>
      </c>
      <c r="W24" s="36">
        <v>67</v>
      </c>
      <c r="X24" s="24">
        <v>37</v>
      </c>
      <c r="Y24" s="12">
        <v>645</v>
      </c>
      <c r="Z24" s="44">
        <f t="shared" si="1"/>
        <v>-245</v>
      </c>
      <c r="AA24" s="15"/>
    </row>
    <row r="25" spans="1:27" x14ac:dyDescent="0.2">
      <c r="A25" s="15"/>
      <c r="B25" s="58"/>
      <c r="C25" s="1" t="s">
        <v>33</v>
      </c>
      <c r="D25" s="1" t="s">
        <v>38</v>
      </c>
      <c r="E25" s="3">
        <v>10758</v>
      </c>
      <c r="F25" s="5">
        <v>4</v>
      </c>
      <c r="G25" s="3">
        <f t="shared" si="0"/>
        <v>2689.5</v>
      </c>
      <c r="H25" s="36">
        <v>5</v>
      </c>
      <c r="I25" s="12">
        <v>422</v>
      </c>
      <c r="J25" s="36">
        <v>73</v>
      </c>
      <c r="K25" s="36">
        <v>152</v>
      </c>
      <c r="L25" s="24">
        <v>-79</v>
      </c>
      <c r="M25" s="12">
        <v>343</v>
      </c>
      <c r="N25" s="36">
        <v>68</v>
      </c>
      <c r="O25" s="36">
        <v>134</v>
      </c>
      <c r="P25" s="24">
        <v>-66</v>
      </c>
      <c r="Q25" s="12">
        <v>277</v>
      </c>
      <c r="R25" s="36">
        <v>99</v>
      </c>
      <c r="S25" s="36">
        <v>144</v>
      </c>
      <c r="T25" s="24">
        <v>-45</v>
      </c>
      <c r="U25" s="12">
        <v>232</v>
      </c>
      <c r="V25" s="36">
        <v>86</v>
      </c>
      <c r="W25" s="36">
        <v>142</v>
      </c>
      <c r="X25" s="24">
        <v>-56</v>
      </c>
      <c r="Y25" s="12">
        <v>176</v>
      </c>
      <c r="Z25" s="44">
        <f t="shared" si="1"/>
        <v>-246</v>
      </c>
      <c r="AA25" s="15"/>
    </row>
    <row r="26" spans="1:27" ht="12.75" customHeight="1" x14ac:dyDescent="0.2">
      <c r="A26" s="15"/>
      <c r="B26" s="56" t="s">
        <v>39</v>
      </c>
      <c r="C26" s="1" t="s">
        <v>46</v>
      </c>
      <c r="D26" s="1" t="s">
        <v>41</v>
      </c>
      <c r="E26" s="3">
        <v>20171</v>
      </c>
      <c r="F26" s="5">
        <v>6</v>
      </c>
      <c r="G26" s="3">
        <f t="shared" si="0"/>
        <v>3361.8333333333335</v>
      </c>
      <c r="H26" s="36">
        <v>6</v>
      </c>
      <c r="I26" s="12">
        <v>681</v>
      </c>
      <c r="J26" s="36">
        <v>247</v>
      </c>
      <c r="K26" s="36">
        <v>278</v>
      </c>
      <c r="L26" s="24">
        <v>-31</v>
      </c>
      <c r="M26" s="12">
        <v>650</v>
      </c>
      <c r="N26" s="36">
        <v>179</v>
      </c>
      <c r="O26" s="36">
        <v>270</v>
      </c>
      <c r="P26" s="24">
        <v>-91</v>
      </c>
      <c r="Q26" s="12">
        <v>559</v>
      </c>
      <c r="R26" s="36">
        <v>315</v>
      </c>
      <c r="S26" s="36">
        <v>330</v>
      </c>
      <c r="T26" s="24">
        <v>-15</v>
      </c>
      <c r="U26" s="12">
        <v>544</v>
      </c>
      <c r="V26" s="36">
        <v>212</v>
      </c>
      <c r="W26" s="36">
        <v>394</v>
      </c>
      <c r="X26" s="24">
        <v>-182</v>
      </c>
      <c r="Y26" s="12">
        <v>362</v>
      </c>
      <c r="Z26" s="44">
        <f t="shared" si="1"/>
        <v>-319</v>
      </c>
      <c r="AA26" s="15"/>
    </row>
    <row r="27" spans="1:27" x14ac:dyDescent="0.2">
      <c r="A27" s="15"/>
      <c r="B27" s="57"/>
      <c r="C27" s="1" t="s">
        <v>46</v>
      </c>
      <c r="D27" s="1" t="s">
        <v>42</v>
      </c>
      <c r="E27" s="3">
        <v>24311</v>
      </c>
      <c r="F27" s="5">
        <v>4</v>
      </c>
      <c r="G27" s="3">
        <f t="shared" si="0"/>
        <v>6077.75</v>
      </c>
      <c r="H27" s="36">
        <v>5</v>
      </c>
      <c r="I27" s="12">
        <v>762</v>
      </c>
      <c r="J27" s="36">
        <v>80</v>
      </c>
      <c r="K27" s="36">
        <v>298</v>
      </c>
      <c r="L27" s="24">
        <v>-218</v>
      </c>
      <c r="M27" s="12">
        <v>544</v>
      </c>
      <c r="N27" s="36">
        <v>151</v>
      </c>
      <c r="O27" s="36">
        <v>321</v>
      </c>
      <c r="P27" s="24">
        <v>-170</v>
      </c>
      <c r="Q27" s="12">
        <v>374</v>
      </c>
      <c r="R27" s="36">
        <v>264</v>
      </c>
      <c r="S27" s="36">
        <v>237</v>
      </c>
      <c r="T27" s="24">
        <v>27</v>
      </c>
      <c r="U27" s="12">
        <v>401</v>
      </c>
      <c r="V27" s="36">
        <v>147</v>
      </c>
      <c r="W27" s="36">
        <v>92</v>
      </c>
      <c r="X27" s="24">
        <v>55</v>
      </c>
      <c r="Y27" s="12">
        <v>456</v>
      </c>
      <c r="Z27" s="44">
        <f t="shared" si="1"/>
        <v>-306</v>
      </c>
      <c r="AA27" s="15"/>
    </row>
    <row r="28" spans="1:27" x14ac:dyDescent="0.2">
      <c r="A28" s="15"/>
      <c r="B28" s="58"/>
      <c r="C28" s="8" t="s">
        <v>46</v>
      </c>
      <c r="D28" s="1" t="s">
        <v>43</v>
      </c>
      <c r="E28" s="3">
        <v>11787</v>
      </c>
      <c r="F28" s="5">
        <v>3</v>
      </c>
      <c r="G28" s="3">
        <f t="shared" si="0"/>
        <v>3929</v>
      </c>
      <c r="H28" s="36">
        <v>4</v>
      </c>
      <c r="I28" s="12">
        <v>68</v>
      </c>
      <c r="J28" s="36">
        <v>79</v>
      </c>
      <c r="K28" s="36">
        <v>63</v>
      </c>
      <c r="L28" s="24">
        <v>16</v>
      </c>
      <c r="M28" s="12">
        <v>84</v>
      </c>
      <c r="N28" s="36">
        <v>86</v>
      </c>
      <c r="O28" s="36">
        <v>123</v>
      </c>
      <c r="P28" s="24">
        <v>-37</v>
      </c>
      <c r="Q28" s="12">
        <v>47</v>
      </c>
      <c r="R28" s="36">
        <v>175</v>
      </c>
      <c r="S28" s="36">
        <v>154</v>
      </c>
      <c r="T28" s="24">
        <v>21</v>
      </c>
      <c r="U28" s="12">
        <v>68</v>
      </c>
      <c r="V28" s="36">
        <v>41</v>
      </c>
      <c r="W28" s="36">
        <v>84</v>
      </c>
      <c r="X28" s="24">
        <v>-43</v>
      </c>
      <c r="Y28" s="12">
        <v>25</v>
      </c>
      <c r="Z28" s="44">
        <f t="shared" si="1"/>
        <v>-43</v>
      </c>
      <c r="AA28" s="15"/>
    </row>
    <row r="29" spans="1:27" ht="12.75" customHeight="1" x14ac:dyDescent="0.2">
      <c r="A29" s="15"/>
      <c r="B29" s="56" t="s">
        <v>40</v>
      </c>
      <c r="C29" s="13" t="s">
        <v>46</v>
      </c>
      <c r="D29" s="7" t="s">
        <v>45</v>
      </c>
      <c r="E29" s="3">
        <v>13819</v>
      </c>
      <c r="F29" s="5">
        <v>3</v>
      </c>
      <c r="G29" s="3">
        <f t="shared" si="0"/>
        <v>4606.333333333333</v>
      </c>
      <c r="H29" s="36">
        <v>3</v>
      </c>
      <c r="I29" s="12">
        <v>51</v>
      </c>
      <c r="J29" s="36">
        <v>101</v>
      </c>
      <c r="K29" s="36">
        <v>130</v>
      </c>
      <c r="L29" s="24">
        <v>-29</v>
      </c>
      <c r="M29" s="12">
        <v>22</v>
      </c>
      <c r="N29" s="36">
        <v>71</v>
      </c>
      <c r="O29" s="36">
        <v>56</v>
      </c>
      <c r="P29" s="24">
        <v>15</v>
      </c>
      <c r="Q29" s="12">
        <v>37</v>
      </c>
      <c r="R29" s="36">
        <v>151</v>
      </c>
      <c r="S29" s="36">
        <v>132</v>
      </c>
      <c r="T29" s="24">
        <v>19</v>
      </c>
      <c r="U29" s="12">
        <v>56</v>
      </c>
      <c r="V29" s="36">
        <v>98</v>
      </c>
      <c r="W29" s="36">
        <v>92</v>
      </c>
      <c r="X29" s="24">
        <v>6</v>
      </c>
      <c r="Y29" s="12">
        <v>62</v>
      </c>
      <c r="Z29" s="44">
        <f t="shared" si="1"/>
        <v>11</v>
      </c>
      <c r="AA29" s="15"/>
    </row>
    <row r="30" spans="1:27" x14ac:dyDescent="0.2">
      <c r="A30" s="15"/>
      <c r="B30" s="58"/>
      <c r="C30" s="1" t="s">
        <v>47</v>
      </c>
      <c r="D30" s="7" t="s">
        <v>44</v>
      </c>
      <c r="E30" s="3">
        <v>14231</v>
      </c>
      <c r="F30" s="5">
        <v>3</v>
      </c>
      <c r="G30" s="3">
        <f t="shared" si="0"/>
        <v>4743.666666666667</v>
      </c>
      <c r="H30" s="36">
        <v>3</v>
      </c>
      <c r="I30" s="12">
        <v>131</v>
      </c>
      <c r="J30" s="36">
        <v>147</v>
      </c>
      <c r="K30" s="36">
        <v>175</v>
      </c>
      <c r="L30" s="24">
        <v>-28</v>
      </c>
      <c r="M30" s="12">
        <v>103</v>
      </c>
      <c r="N30" s="36">
        <v>103</v>
      </c>
      <c r="O30" s="36">
        <v>82</v>
      </c>
      <c r="P30" s="24">
        <v>21</v>
      </c>
      <c r="Q30" s="12">
        <v>124</v>
      </c>
      <c r="R30" s="36">
        <v>138</v>
      </c>
      <c r="S30" s="36">
        <v>105</v>
      </c>
      <c r="T30" s="24">
        <v>33</v>
      </c>
      <c r="U30" s="12">
        <v>157</v>
      </c>
      <c r="V30" s="36">
        <v>119</v>
      </c>
      <c r="W30" s="36">
        <v>148</v>
      </c>
      <c r="X30" s="24">
        <v>-29</v>
      </c>
      <c r="Y30" s="12">
        <v>128</v>
      </c>
      <c r="Z30" s="44">
        <f t="shared" si="1"/>
        <v>-3</v>
      </c>
      <c r="AA30" s="15"/>
    </row>
    <row r="31" spans="1:27" ht="12.75" customHeight="1" x14ac:dyDescent="0.2">
      <c r="A31" s="15"/>
      <c r="B31" s="56" t="s">
        <v>60</v>
      </c>
      <c r="C31" s="1" t="s">
        <v>58</v>
      </c>
      <c r="D31" s="7" t="s">
        <v>48</v>
      </c>
      <c r="E31" s="3">
        <v>8256</v>
      </c>
      <c r="F31" s="5">
        <v>3</v>
      </c>
      <c r="G31" s="3">
        <f t="shared" si="0"/>
        <v>2752</v>
      </c>
      <c r="H31" s="36">
        <v>4</v>
      </c>
      <c r="I31" s="12">
        <v>61</v>
      </c>
      <c r="J31" s="36">
        <v>53</v>
      </c>
      <c r="K31" s="36">
        <v>49</v>
      </c>
      <c r="L31" s="24">
        <v>4</v>
      </c>
      <c r="M31" s="12">
        <v>65</v>
      </c>
      <c r="N31" s="36">
        <v>53</v>
      </c>
      <c r="O31" s="36">
        <v>24</v>
      </c>
      <c r="P31" s="24">
        <v>29</v>
      </c>
      <c r="Q31" s="12">
        <v>94</v>
      </c>
      <c r="R31" s="36">
        <v>87</v>
      </c>
      <c r="S31" s="36">
        <v>35</v>
      </c>
      <c r="T31" s="24">
        <v>52</v>
      </c>
      <c r="U31" s="12">
        <v>146</v>
      </c>
      <c r="V31" s="36">
        <v>67</v>
      </c>
      <c r="W31" s="36">
        <v>51</v>
      </c>
      <c r="X31" s="24">
        <v>16</v>
      </c>
      <c r="Y31" s="12">
        <v>162</v>
      </c>
      <c r="Z31" s="44">
        <f t="shared" si="1"/>
        <v>101</v>
      </c>
      <c r="AA31" s="15"/>
    </row>
    <row r="32" spans="1:27" x14ac:dyDescent="0.2">
      <c r="A32" s="15"/>
      <c r="B32" s="58"/>
      <c r="C32" s="13" t="s">
        <v>57</v>
      </c>
      <c r="D32" s="7" t="s">
        <v>49</v>
      </c>
      <c r="E32" s="3">
        <v>23367</v>
      </c>
      <c r="F32" s="5">
        <v>2</v>
      </c>
      <c r="G32" s="3">
        <f t="shared" si="0"/>
        <v>11683.5</v>
      </c>
      <c r="H32" s="36">
        <v>3</v>
      </c>
      <c r="I32" s="12">
        <v>183</v>
      </c>
      <c r="J32" s="36">
        <v>103</v>
      </c>
      <c r="K32" s="36">
        <v>113</v>
      </c>
      <c r="L32" s="24">
        <v>-10</v>
      </c>
      <c r="M32" s="12">
        <v>173</v>
      </c>
      <c r="N32" s="36">
        <v>93</v>
      </c>
      <c r="O32" s="36">
        <v>97</v>
      </c>
      <c r="P32" s="24">
        <v>-4</v>
      </c>
      <c r="Q32" s="12">
        <v>169</v>
      </c>
      <c r="R32" s="36">
        <v>150</v>
      </c>
      <c r="S32" s="36">
        <v>157</v>
      </c>
      <c r="T32" s="24">
        <v>-7</v>
      </c>
      <c r="U32" s="12">
        <v>162</v>
      </c>
      <c r="V32" s="36">
        <v>84</v>
      </c>
      <c r="W32" s="36">
        <v>84</v>
      </c>
      <c r="X32" s="24">
        <v>0</v>
      </c>
      <c r="Y32" s="12">
        <v>162</v>
      </c>
      <c r="Z32" s="44">
        <f t="shared" si="1"/>
        <v>-21</v>
      </c>
      <c r="AA32" s="15"/>
    </row>
    <row r="33" spans="1:27" ht="12.75" customHeight="1" x14ac:dyDescent="0.2">
      <c r="A33" s="15"/>
      <c r="B33" s="56" t="s">
        <v>61</v>
      </c>
      <c r="C33" s="1" t="s">
        <v>58</v>
      </c>
      <c r="D33" s="7" t="s">
        <v>50</v>
      </c>
      <c r="E33" s="3">
        <v>25526</v>
      </c>
      <c r="F33" s="5">
        <v>5</v>
      </c>
      <c r="G33" s="3">
        <f t="shared" si="0"/>
        <v>5105.2</v>
      </c>
      <c r="H33" s="36">
        <v>5</v>
      </c>
      <c r="I33" s="12">
        <v>2152</v>
      </c>
      <c r="J33" s="36">
        <v>124</v>
      </c>
      <c r="K33" s="36">
        <v>96</v>
      </c>
      <c r="L33" s="24">
        <v>28</v>
      </c>
      <c r="M33" s="12">
        <v>2180</v>
      </c>
      <c r="N33" s="36">
        <v>92</v>
      </c>
      <c r="O33" s="36">
        <v>122</v>
      </c>
      <c r="P33" s="24">
        <v>-30</v>
      </c>
      <c r="Q33" s="12">
        <v>2150</v>
      </c>
      <c r="R33" s="36">
        <v>179</v>
      </c>
      <c r="S33" s="36">
        <v>172</v>
      </c>
      <c r="T33" s="24">
        <v>7</v>
      </c>
      <c r="U33" s="12">
        <v>2157</v>
      </c>
      <c r="V33" s="36">
        <v>98</v>
      </c>
      <c r="W33" s="36">
        <v>1297</v>
      </c>
      <c r="X33" s="24">
        <v>-1199</v>
      </c>
      <c r="Y33" s="12">
        <v>958</v>
      </c>
      <c r="Z33" s="44">
        <f t="shared" si="1"/>
        <v>-1194</v>
      </c>
      <c r="AA33" s="15"/>
    </row>
    <row r="34" spans="1:27" x14ac:dyDescent="0.2">
      <c r="A34" s="15"/>
      <c r="B34" s="57"/>
      <c r="C34" s="1" t="s">
        <v>58</v>
      </c>
      <c r="D34" s="7" t="s">
        <v>51</v>
      </c>
      <c r="E34" s="3">
        <v>14910</v>
      </c>
      <c r="F34" s="5">
        <v>2</v>
      </c>
      <c r="G34" s="3">
        <f t="shared" si="0"/>
        <v>7455</v>
      </c>
      <c r="H34" s="36">
        <v>6</v>
      </c>
      <c r="I34" s="12">
        <v>176</v>
      </c>
      <c r="J34" s="36">
        <v>98</v>
      </c>
      <c r="K34" s="36">
        <v>225</v>
      </c>
      <c r="L34" s="24">
        <v>-127</v>
      </c>
      <c r="M34" s="12">
        <v>49</v>
      </c>
      <c r="N34" s="36">
        <v>82</v>
      </c>
      <c r="O34" s="36">
        <v>74</v>
      </c>
      <c r="P34" s="24">
        <v>8</v>
      </c>
      <c r="Q34" s="12">
        <v>57</v>
      </c>
      <c r="R34" s="36">
        <v>130</v>
      </c>
      <c r="S34" s="36">
        <v>102</v>
      </c>
      <c r="T34" s="24">
        <v>28</v>
      </c>
      <c r="U34" s="12">
        <v>85</v>
      </c>
      <c r="V34" s="36">
        <v>61</v>
      </c>
      <c r="W34" s="36">
        <v>66</v>
      </c>
      <c r="X34" s="24">
        <v>-5</v>
      </c>
      <c r="Y34" s="12">
        <v>80</v>
      </c>
      <c r="Z34" s="44">
        <f t="shared" si="1"/>
        <v>-96</v>
      </c>
      <c r="AA34" s="15"/>
    </row>
    <row r="35" spans="1:27" x14ac:dyDescent="0.2">
      <c r="A35" s="15"/>
      <c r="B35" s="58"/>
      <c r="C35" s="13" t="s">
        <v>59</v>
      </c>
      <c r="D35" s="7" t="s">
        <v>52</v>
      </c>
      <c r="E35" s="3">
        <v>9784</v>
      </c>
      <c r="F35" s="5">
        <v>3</v>
      </c>
      <c r="G35" s="3">
        <f t="shared" si="0"/>
        <v>3261.3333333333335</v>
      </c>
      <c r="H35" s="36">
        <v>3</v>
      </c>
      <c r="I35" s="12">
        <v>518</v>
      </c>
      <c r="J35" s="36">
        <v>64</v>
      </c>
      <c r="K35" s="36">
        <v>135</v>
      </c>
      <c r="L35" s="24">
        <v>-71</v>
      </c>
      <c r="M35" s="12">
        <v>447</v>
      </c>
      <c r="N35" s="36">
        <v>61</v>
      </c>
      <c r="O35" s="36">
        <v>115</v>
      </c>
      <c r="P35" s="24">
        <v>-54</v>
      </c>
      <c r="Q35" s="12">
        <v>393</v>
      </c>
      <c r="R35" s="36">
        <v>124</v>
      </c>
      <c r="S35" s="36">
        <v>116</v>
      </c>
      <c r="T35" s="24">
        <v>8</v>
      </c>
      <c r="U35" s="12">
        <v>401</v>
      </c>
      <c r="V35" s="36">
        <v>75</v>
      </c>
      <c r="W35" s="36">
        <v>214</v>
      </c>
      <c r="X35" s="24">
        <v>-139</v>
      </c>
      <c r="Y35" s="12">
        <v>262</v>
      </c>
      <c r="Z35" s="44">
        <f t="shared" si="1"/>
        <v>-256</v>
      </c>
      <c r="AA35" s="15"/>
    </row>
    <row r="36" spans="1:27" ht="12.75" customHeight="1" x14ac:dyDescent="0.2">
      <c r="A36" s="15"/>
      <c r="B36" s="56" t="s">
        <v>62</v>
      </c>
      <c r="C36" s="13" t="s">
        <v>59</v>
      </c>
      <c r="D36" s="7" t="s">
        <v>53</v>
      </c>
      <c r="E36" s="3">
        <v>7872</v>
      </c>
      <c r="F36" s="5">
        <v>3</v>
      </c>
      <c r="G36" s="3">
        <f t="shared" si="0"/>
        <v>2624</v>
      </c>
      <c r="H36" s="36">
        <v>3</v>
      </c>
      <c r="I36" s="12">
        <v>68</v>
      </c>
      <c r="J36" s="36">
        <v>34</v>
      </c>
      <c r="K36" s="36">
        <v>38</v>
      </c>
      <c r="L36" s="24">
        <v>-4</v>
      </c>
      <c r="M36" s="12">
        <v>64</v>
      </c>
      <c r="N36" s="36">
        <v>31</v>
      </c>
      <c r="O36" s="36">
        <v>27</v>
      </c>
      <c r="P36" s="24">
        <v>4</v>
      </c>
      <c r="Q36" s="12">
        <v>68</v>
      </c>
      <c r="R36" s="36">
        <v>42</v>
      </c>
      <c r="S36" s="36">
        <v>44</v>
      </c>
      <c r="T36" s="24">
        <v>-2</v>
      </c>
      <c r="U36" s="12">
        <v>66</v>
      </c>
      <c r="V36" s="36">
        <v>59</v>
      </c>
      <c r="W36" s="36">
        <v>78</v>
      </c>
      <c r="X36" s="24">
        <v>-19</v>
      </c>
      <c r="Y36" s="12">
        <v>47</v>
      </c>
      <c r="Z36" s="44">
        <f t="shared" si="1"/>
        <v>-21</v>
      </c>
      <c r="AA36" s="15"/>
    </row>
    <row r="37" spans="1:27" x14ac:dyDescent="0.2">
      <c r="A37" s="15"/>
      <c r="B37" s="58"/>
      <c r="C37" s="1" t="s">
        <v>58</v>
      </c>
      <c r="D37" s="7" t="s">
        <v>54</v>
      </c>
      <c r="E37" s="3">
        <v>3520</v>
      </c>
      <c r="F37" s="5">
        <v>2</v>
      </c>
      <c r="G37" s="3">
        <f t="shared" si="0"/>
        <v>1760</v>
      </c>
      <c r="H37" s="36">
        <v>2</v>
      </c>
      <c r="I37" s="12">
        <v>468</v>
      </c>
      <c r="J37" s="36">
        <v>36</v>
      </c>
      <c r="K37" s="36">
        <v>121</v>
      </c>
      <c r="L37" s="24">
        <v>-85</v>
      </c>
      <c r="M37" s="12">
        <v>383</v>
      </c>
      <c r="N37" s="36">
        <v>34</v>
      </c>
      <c r="O37" s="36">
        <v>50</v>
      </c>
      <c r="P37" s="24">
        <v>-16</v>
      </c>
      <c r="Q37" s="12">
        <v>367</v>
      </c>
      <c r="R37" s="36">
        <v>61</v>
      </c>
      <c r="S37" s="36">
        <v>142</v>
      </c>
      <c r="T37" s="24">
        <v>-81</v>
      </c>
      <c r="U37" s="12">
        <v>286</v>
      </c>
      <c r="V37" s="36">
        <v>26</v>
      </c>
      <c r="W37" s="36">
        <v>141</v>
      </c>
      <c r="X37" s="24">
        <v>-115</v>
      </c>
      <c r="Y37" s="12">
        <v>171</v>
      </c>
      <c r="Z37" s="44">
        <f t="shared" si="1"/>
        <v>-297</v>
      </c>
      <c r="AA37" s="15"/>
    </row>
    <row r="38" spans="1:27" x14ac:dyDescent="0.2">
      <c r="A38" s="15"/>
      <c r="B38" s="19" t="s">
        <v>56</v>
      </c>
      <c r="C38" s="9" t="s">
        <v>57</v>
      </c>
      <c r="D38" s="1" t="s">
        <v>55</v>
      </c>
      <c r="E38" s="3">
        <v>0</v>
      </c>
      <c r="F38" s="5">
        <v>22</v>
      </c>
      <c r="G38" s="3">
        <f t="shared" si="0"/>
        <v>0</v>
      </c>
      <c r="H38" s="36">
        <v>22</v>
      </c>
      <c r="I38" s="12">
        <v>2379</v>
      </c>
      <c r="J38" s="36">
        <v>103</v>
      </c>
      <c r="K38" s="36">
        <v>1065</v>
      </c>
      <c r="L38" s="24">
        <v>-962</v>
      </c>
      <c r="M38" s="12">
        <v>1417</v>
      </c>
      <c r="N38" s="36">
        <v>47</v>
      </c>
      <c r="O38" s="36">
        <v>554</v>
      </c>
      <c r="P38" s="24">
        <v>-507</v>
      </c>
      <c r="Q38" s="12">
        <v>910</v>
      </c>
      <c r="R38" s="36">
        <v>81</v>
      </c>
      <c r="S38" s="36">
        <v>423</v>
      </c>
      <c r="T38" s="24">
        <v>-342</v>
      </c>
      <c r="U38" s="12">
        <v>568</v>
      </c>
      <c r="V38" s="36">
        <v>181</v>
      </c>
      <c r="W38" s="36">
        <v>406</v>
      </c>
      <c r="X38" s="24">
        <v>-225</v>
      </c>
      <c r="Y38" s="12">
        <v>343</v>
      </c>
      <c r="Z38" s="44">
        <f t="shared" si="1"/>
        <v>-2036</v>
      </c>
      <c r="AA38" s="15"/>
    </row>
    <row r="39" spans="1:27" x14ac:dyDescent="0.2">
      <c r="A39" s="15"/>
      <c r="B39" s="63" t="s">
        <v>72</v>
      </c>
      <c r="C39" s="64"/>
      <c r="D39" s="65"/>
      <c r="E39" s="32">
        <f>SUM(E6:E38)</f>
        <v>652146</v>
      </c>
      <c r="F39" s="32">
        <f>SUM(F6:F38)</f>
        <v>166</v>
      </c>
      <c r="G39" s="32">
        <f t="shared" si="0"/>
        <v>3928.5903614457829</v>
      </c>
      <c r="H39" s="32">
        <f>SUM(H6:H38)</f>
        <v>182</v>
      </c>
      <c r="I39" s="32">
        <f t="shared" ref="I39:W39" si="2">SUM(I6:I38)</f>
        <v>18397</v>
      </c>
      <c r="J39" s="32">
        <f t="shared" si="2"/>
        <v>4581</v>
      </c>
      <c r="K39" s="32">
        <f t="shared" si="2"/>
        <v>6750</v>
      </c>
      <c r="L39" s="32">
        <f>J39-K39</f>
        <v>-2169</v>
      </c>
      <c r="M39" s="32">
        <f t="shared" ref="M39" si="3">I39+J39-K39</f>
        <v>16228</v>
      </c>
      <c r="N39" s="32">
        <f t="shared" si="2"/>
        <v>4018</v>
      </c>
      <c r="O39" s="32">
        <f t="shared" si="2"/>
        <v>5465</v>
      </c>
      <c r="P39" s="32">
        <f>N39-O39</f>
        <v>-1447</v>
      </c>
      <c r="Q39" s="32">
        <f t="shared" ref="Q39" si="4">M39+N39-O39</f>
        <v>14781</v>
      </c>
      <c r="R39" s="32">
        <f t="shared" si="2"/>
        <v>6644</v>
      </c>
      <c r="S39" s="32">
        <f t="shared" si="2"/>
        <v>6889</v>
      </c>
      <c r="T39" s="32">
        <f>R39-S39</f>
        <v>-245</v>
      </c>
      <c r="U39" s="32">
        <f t="shared" ref="U39" si="5">Q39+R39-S39</f>
        <v>14536</v>
      </c>
      <c r="V39" s="32">
        <f t="shared" si="2"/>
        <v>3825</v>
      </c>
      <c r="W39" s="32">
        <f t="shared" si="2"/>
        <v>7115</v>
      </c>
      <c r="X39" s="32">
        <f>V39-W39</f>
        <v>-3290</v>
      </c>
      <c r="Y39" s="32">
        <f t="shared" ref="Y39" si="6">U39+V39-W39</f>
        <v>11246</v>
      </c>
      <c r="Z39" s="45">
        <f t="shared" si="1"/>
        <v>-7151</v>
      </c>
      <c r="AA39" s="15"/>
    </row>
    <row r="40" spans="1:27" ht="3.75" customHeight="1" x14ac:dyDescent="0.2">
      <c r="A40" s="15"/>
      <c r="B40" s="14"/>
      <c r="C40" s="15"/>
      <c r="D40" s="16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8"/>
      <c r="AA40" s="15"/>
    </row>
    <row r="41" spans="1:27" x14ac:dyDescent="0.2">
      <c r="D41" s="6"/>
      <c r="E41" s="6"/>
      <c r="F41" s="6"/>
      <c r="G41" s="6"/>
      <c r="H41" s="6"/>
      <c r="I41" s="6"/>
      <c r="J41" s="6"/>
      <c r="K41" s="6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7" x14ac:dyDescent="0.2">
      <c r="D42" s="6"/>
      <c r="E42" s="6"/>
      <c r="F42" s="6"/>
      <c r="G42" s="6"/>
      <c r="H42" s="6"/>
      <c r="I42" s="6"/>
      <c r="J42" s="6"/>
      <c r="K42" s="6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7" x14ac:dyDescent="0.2">
      <c r="D43" s="6"/>
      <c r="E43" s="6"/>
      <c r="F43" s="6"/>
      <c r="G43" s="6"/>
      <c r="H43" s="6"/>
      <c r="I43" s="6"/>
      <c r="J43" s="6"/>
      <c r="K43" s="6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7" x14ac:dyDescent="0.2">
      <c r="D44" s="1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7" x14ac:dyDescent="0.2">
      <c r="D45" s="1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7" x14ac:dyDescent="0.2">
      <c r="D46" s="1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7" x14ac:dyDescent="0.2">
      <c r="D47" s="1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7" x14ac:dyDescent="0.2">
      <c r="D48" s="1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4:25" x14ac:dyDescent="0.2">
      <c r="D49" s="1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4:25" x14ac:dyDescent="0.2">
      <c r="D50" s="1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4:25" x14ac:dyDescent="0.2">
      <c r="D51" s="1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4:25" x14ac:dyDescent="0.2">
      <c r="D52" s="1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4:25" x14ac:dyDescent="0.2">
      <c r="D53" s="1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4:25" x14ac:dyDescent="0.2">
      <c r="D54" s="1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4:25" x14ac:dyDescent="0.2">
      <c r="D55" s="1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4:25" x14ac:dyDescent="0.2"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4:25" x14ac:dyDescent="0.2"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</sheetData>
  <mergeCells count="17">
    <mergeCell ref="C2:Y2"/>
    <mergeCell ref="B21:B22"/>
    <mergeCell ref="R4:T4"/>
    <mergeCell ref="V4:X4"/>
    <mergeCell ref="B39:D39"/>
    <mergeCell ref="B29:B30"/>
    <mergeCell ref="B31:B32"/>
    <mergeCell ref="B33:B35"/>
    <mergeCell ref="B36:B37"/>
    <mergeCell ref="B23:B25"/>
    <mergeCell ref="B26:B28"/>
    <mergeCell ref="B6:B10"/>
    <mergeCell ref="J4:L4"/>
    <mergeCell ref="N4:P4"/>
    <mergeCell ref="B11:B13"/>
    <mergeCell ref="B14:B16"/>
    <mergeCell ref="B17:B20"/>
  </mergeCells>
  <conditionalFormatting sqref="L6:L39">
    <cfRule type="cellIs" dxfId="11" priority="7" operator="greaterThan">
      <formula>0</formula>
    </cfRule>
    <cfRule type="cellIs" dxfId="10" priority="8" operator="lessThan">
      <formula>0</formula>
    </cfRule>
  </conditionalFormatting>
  <conditionalFormatting sqref="P6:P39">
    <cfRule type="cellIs" dxfId="9" priority="5" operator="greaterThan">
      <formula>0</formula>
    </cfRule>
    <cfRule type="cellIs" dxfId="8" priority="6" operator="lessThan">
      <formula>0</formula>
    </cfRule>
  </conditionalFormatting>
  <conditionalFormatting sqref="T6:T39">
    <cfRule type="cellIs" dxfId="7" priority="3" operator="greaterThan">
      <formula>0</formula>
    </cfRule>
    <cfRule type="cellIs" dxfId="6" priority="4" operator="lessThan">
      <formula>0</formula>
    </cfRule>
  </conditionalFormatting>
  <conditionalFormatting sqref="X6:X39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Z6:Z39">
    <cfRule type="cellIs" dxfId="3" priority="27" operator="lessThan">
      <formula>0</formula>
    </cfRule>
    <cfRule type="cellIs" dxfId="2" priority="28" operator="greaterThan">
      <formula>0</formula>
    </cfRule>
  </conditionalFormatting>
  <pageMargins left="0.24" right="0.511811024" top="0.64" bottom="0.19" header="0.36" footer="0.17"/>
  <pageSetup paperSize="8" scale="86" orientation="landscape" r:id="rId1"/>
  <ignoredErrors>
    <ignoredError sqref="G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89CB-F6A1-4EC4-8B76-C2B7C9040EFE}">
  <sheetPr>
    <pageSetUpPr fitToPage="1"/>
  </sheetPr>
  <dimension ref="A1:M57"/>
  <sheetViews>
    <sheetView workbookViewId="0">
      <selection activeCell="K21" sqref="K21"/>
    </sheetView>
  </sheetViews>
  <sheetFormatPr defaultColWidth="0" defaultRowHeight="12.75" zeroHeight="1" x14ac:dyDescent="0.2"/>
  <cols>
    <col min="1" max="1" width="0.7109375" style="2" customWidth="1"/>
    <col min="2" max="2" width="13.85546875" style="4" bestFit="1" customWidth="1"/>
    <col min="3" max="3" width="10" style="2" bestFit="1" customWidth="1"/>
    <col min="4" max="4" width="15.7109375" style="2" bestFit="1" customWidth="1"/>
    <col min="5" max="5" width="10.7109375" style="4" bestFit="1" customWidth="1"/>
    <col min="6" max="6" width="6.5703125" style="4" bestFit="1" customWidth="1"/>
    <col min="7" max="8" width="11.140625" style="4" customWidth="1"/>
    <col min="9" max="9" width="7.85546875" style="4" bestFit="1" customWidth="1"/>
    <col min="10" max="10" width="10.5703125" style="4" bestFit="1" customWidth="1"/>
    <col min="11" max="11" width="7.7109375" style="4" bestFit="1" customWidth="1"/>
    <col min="12" max="12" width="12.85546875" style="4" customWidth="1"/>
    <col min="13" max="13" width="0.7109375" style="2" customWidth="1"/>
    <col min="14" max="16384" width="8.7109375" style="2" hidden="1"/>
  </cols>
  <sheetData>
    <row r="1" spans="1:13" ht="3.75" customHeight="1" x14ac:dyDescent="0.2">
      <c r="A1" s="15"/>
      <c r="B1" s="14"/>
      <c r="C1" s="15"/>
      <c r="D1" s="15"/>
      <c r="E1" s="14"/>
      <c r="F1" s="14"/>
      <c r="G1" s="14"/>
      <c r="H1" s="14"/>
      <c r="I1" s="14"/>
      <c r="J1" s="14"/>
      <c r="K1" s="14"/>
      <c r="L1" s="14"/>
      <c r="M1" s="15"/>
    </row>
    <row r="2" spans="1:13" ht="26.25" customHeight="1" x14ac:dyDescent="0.35">
      <c r="A2" s="15"/>
      <c r="B2" s="20"/>
      <c r="C2" s="66" t="s">
        <v>73</v>
      </c>
      <c r="D2" s="66"/>
      <c r="E2" s="66"/>
      <c r="F2" s="66"/>
      <c r="G2" s="66"/>
      <c r="H2" s="66"/>
      <c r="I2" s="66"/>
      <c r="J2" s="66"/>
      <c r="K2" s="66"/>
      <c r="L2" s="66"/>
      <c r="M2" s="15"/>
    </row>
    <row r="3" spans="1:13" ht="13.5" customHeight="1" x14ac:dyDescent="0.2">
      <c r="A3" s="15"/>
      <c r="B3" s="48"/>
      <c r="C3" s="48"/>
      <c r="D3" s="48"/>
      <c r="E3" s="46" t="s">
        <v>74</v>
      </c>
      <c r="F3" s="48" t="str">
        <f>'Versão Completa'!D3</f>
        <v>21 de janeiro de 2026</v>
      </c>
      <c r="G3" s="48"/>
      <c r="H3" s="48"/>
      <c r="I3" s="48"/>
      <c r="J3" s="48"/>
      <c r="K3" s="48"/>
      <c r="L3" s="48"/>
      <c r="M3" s="15"/>
    </row>
    <row r="4" spans="1:13" ht="13.5" thickBot="1" x14ac:dyDescent="0.25">
      <c r="A4" s="15"/>
      <c r="B4" s="21"/>
      <c r="C4" s="22"/>
      <c r="D4" s="22"/>
      <c r="E4" s="21"/>
      <c r="F4" s="21"/>
      <c r="G4" s="23">
        <f>'Versão Completa'!I4</f>
        <v>46295</v>
      </c>
      <c r="H4" s="23">
        <v>46387</v>
      </c>
      <c r="I4" s="69" t="s">
        <v>66</v>
      </c>
      <c r="J4" s="70"/>
      <c r="K4" s="71"/>
      <c r="L4" s="33">
        <f>'Versão Completa'!Y4</f>
        <v>46043</v>
      </c>
      <c r="M4" s="15"/>
    </row>
    <row r="5" spans="1:13" ht="18.75" customHeight="1" x14ac:dyDescent="0.2">
      <c r="A5" s="15"/>
      <c r="B5" s="50" t="s">
        <v>10</v>
      </c>
      <c r="C5" s="51" t="s">
        <v>7</v>
      </c>
      <c r="D5" s="51" t="s">
        <v>8</v>
      </c>
      <c r="E5" s="52" t="s">
        <v>9</v>
      </c>
      <c r="F5" s="53" t="s">
        <v>67</v>
      </c>
      <c r="G5" s="54" t="s">
        <v>11</v>
      </c>
      <c r="H5" s="54" t="s">
        <v>11</v>
      </c>
      <c r="I5" s="55" t="s">
        <v>12</v>
      </c>
      <c r="J5" s="55" t="s">
        <v>13</v>
      </c>
      <c r="K5" s="52" t="s">
        <v>68</v>
      </c>
      <c r="L5" s="54" t="s">
        <v>11</v>
      </c>
      <c r="M5" s="15"/>
    </row>
    <row r="6" spans="1:13" x14ac:dyDescent="0.2">
      <c r="A6" s="15"/>
      <c r="B6" s="67" t="s">
        <v>6</v>
      </c>
      <c r="C6" s="1" t="str">
        <f>'Versão Completa'!C6</f>
        <v>Era Técnica</v>
      </c>
      <c r="D6" s="1" t="str">
        <f>'Versão Completa'!D6</f>
        <v>Parelheiros</v>
      </c>
      <c r="E6" s="3">
        <f>'Versão Completa'!E6</f>
        <v>5481</v>
      </c>
      <c r="F6" s="5">
        <v>3</v>
      </c>
      <c r="G6" s="12">
        <f>'Versão Completa'!I6</f>
        <v>12</v>
      </c>
      <c r="H6" s="12">
        <f>'Versão Completa'!U6</f>
        <v>7</v>
      </c>
      <c r="I6" s="36">
        <f>'Versão Completa'!V6</f>
        <v>15</v>
      </c>
      <c r="J6" s="36">
        <f>'Versão Completa'!W6</f>
        <v>7</v>
      </c>
      <c r="K6" s="3">
        <f>'Versão Completa'!X6</f>
        <v>8</v>
      </c>
      <c r="L6" s="12">
        <f>'Versão Completa'!Y6</f>
        <v>15</v>
      </c>
      <c r="M6" s="15"/>
    </row>
    <row r="7" spans="1:13" x14ac:dyDescent="0.2">
      <c r="A7" s="15"/>
      <c r="B7" s="68"/>
      <c r="C7" s="1" t="str">
        <f>'Versão Completa'!C7</f>
        <v>Era Técnica</v>
      </c>
      <c r="D7" s="1" t="str">
        <f>'Versão Completa'!D7</f>
        <v>M Boi Mirim</v>
      </c>
      <c r="E7" s="3">
        <f>'Versão Completa'!E7</f>
        <v>15701</v>
      </c>
      <c r="F7" s="5">
        <v>4</v>
      </c>
      <c r="G7" s="12">
        <f>'Versão Completa'!I7</f>
        <v>277</v>
      </c>
      <c r="H7" s="12">
        <f>'Versão Completa'!U7</f>
        <v>240</v>
      </c>
      <c r="I7" s="36">
        <f>'Versão Completa'!V7</f>
        <v>93</v>
      </c>
      <c r="J7" s="36">
        <f>'Versão Completa'!W7</f>
        <v>139</v>
      </c>
      <c r="K7" s="3">
        <f>'Versão Completa'!X7</f>
        <v>-46</v>
      </c>
      <c r="L7" s="12">
        <f>'Versão Completa'!Y7</f>
        <v>194</v>
      </c>
      <c r="M7" s="15"/>
    </row>
    <row r="8" spans="1:13" x14ac:dyDescent="0.2">
      <c r="A8" s="15"/>
      <c r="B8" s="68"/>
      <c r="C8" s="1" t="str">
        <f>'Versão Completa'!C8</f>
        <v>Era Técnica</v>
      </c>
      <c r="D8" s="1" t="str">
        <f>'Versão Completa'!D8</f>
        <v>Campo Limpo</v>
      </c>
      <c r="E8" s="3">
        <f>'Versão Completa'!E8</f>
        <v>26472</v>
      </c>
      <c r="F8" s="5">
        <v>4</v>
      </c>
      <c r="G8" s="12">
        <f>'Versão Completa'!I8</f>
        <v>552</v>
      </c>
      <c r="H8" s="12">
        <f>'Versão Completa'!U8</f>
        <v>498</v>
      </c>
      <c r="I8" s="36">
        <f>'Versão Completa'!V8</f>
        <v>106</v>
      </c>
      <c r="J8" s="36">
        <f>'Versão Completa'!W8</f>
        <v>150</v>
      </c>
      <c r="K8" s="3">
        <f>'Versão Completa'!X8</f>
        <v>-44</v>
      </c>
      <c r="L8" s="12">
        <f>'Versão Completa'!Y8</f>
        <v>454</v>
      </c>
      <c r="M8" s="15"/>
    </row>
    <row r="9" spans="1:13" x14ac:dyDescent="0.2">
      <c r="A9" s="15"/>
      <c r="B9" s="68"/>
      <c r="C9" s="1" t="str">
        <f>'Versão Completa'!C9</f>
        <v>Era Técnica</v>
      </c>
      <c r="D9" s="1" t="str">
        <f>'Versão Completa'!D9</f>
        <v>Capela do Socorro</v>
      </c>
      <c r="E9" s="3">
        <f>'Versão Completa'!E9</f>
        <v>36477</v>
      </c>
      <c r="F9" s="5">
        <v>5</v>
      </c>
      <c r="G9" s="12">
        <f>'Versão Completa'!I9</f>
        <v>555</v>
      </c>
      <c r="H9" s="12">
        <f>'Versão Completa'!U9</f>
        <v>242</v>
      </c>
      <c r="I9" s="36">
        <f>'Versão Completa'!V9</f>
        <v>367</v>
      </c>
      <c r="J9" s="36">
        <f>'Versão Completa'!W9</f>
        <v>233</v>
      </c>
      <c r="K9" s="3">
        <f>'Versão Completa'!X9</f>
        <v>134</v>
      </c>
      <c r="L9" s="12">
        <f>'Versão Completa'!Y9</f>
        <v>376</v>
      </c>
      <c r="M9" s="15"/>
    </row>
    <row r="10" spans="1:13" x14ac:dyDescent="0.2">
      <c r="A10" s="15"/>
      <c r="B10" s="68"/>
      <c r="C10" s="1" t="str">
        <f>'Versão Completa'!C10</f>
        <v>Era Técnica</v>
      </c>
      <c r="D10" s="1" t="str">
        <f>'Versão Completa'!D10</f>
        <v>Cidade Ademar</v>
      </c>
      <c r="E10" s="3">
        <f>'Versão Completa'!E10</f>
        <v>16088</v>
      </c>
      <c r="F10" s="5">
        <v>4</v>
      </c>
      <c r="G10" s="12">
        <f>'Versão Completa'!I10</f>
        <v>561</v>
      </c>
      <c r="H10" s="12">
        <f>'Versão Completa'!U10</f>
        <v>480</v>
      </c>
      <c r="I10" s="36">
        <f>'Versão Completa'!V10</f>
        <v>99</v>
      </c>
      <c r="J10" s="36">
        <f>'Versão Completa'!W10</f>
        <v>163</v>
      </c>
      <c r="K10" s="3">
        <f>'Versão Completa'!X10</f>
        <v>-64</v>
      </c>
      <c r="L10" s="12">
        <f>'Versão Completa'!Y10</f>
        <v>416</v>
      </c>
      <c r="M10" s="15"/>
    </row>
    <row r="11" spans="1:13" x14ac:dyDescent="0.2">
      <c r="A11" s="15"/>
      <c r="B11" s="67" t="s">
        <v>15</v>
      </c>
      <c r="C11" s="1" t="str">
        <f>'Versão Completa'!C11</f>
        <v>Tonani</v>
      </c>
      <c r="D11" s="1" t="str">
        <f>'Versão Completa'!D11</f>
        <v>Jabaquara</v>
      </c>
      <c r="E11" s="3">
        <f>'Versão Completa'!E11</f>
        <v>8721</v>
      </c>
      <c r="F11" s="5">
        <v>3</v>
      </c>
      <c r="G11" s="12">
        <f>'Versão Completa'!I11</f>
        <v>1</v>
      </c>
      <c r="H11" s="12">
        <f>'Versão Completa'!U11</f>
        <v>9</v>
      </c>
      <c r="I11" s="36">
        <f>'Versão Completa'!V11</f>
        <v>82</v>
      </c>
      <c r="J11" s="36">
        <f>'Versão Completa'!W11</f>
        <v>45</v>
      </c>
      <c r="K11" s="3">
        <f>'Versão Completa'!X11</f>
        <v>37</v>
      </c>
      <c r="L11" s="12">
        <f>'Versão Completa'!Y11</f>
        <v>46</v>
      </c>
      <c r="M11" s="15"/>
    </row>
    <row r="12" spans="1:13" x14ac:dyDescent="0.2">
      <c r="A12" s="15"/>
      <c r="B12" s="68"/>
      <c r="C12" s="1" t="str">
        <f>'Versão Completa'!C12</f>
        <v>Tonani</v>
      </c>
      <c r="D12" s="1" t="str">
        <f>'Versão Completa'!D12</f>
        <v>Ipiranga</v>
      </c>
      <c r="E12" s="3">
        <f>'Versão Completa'!E12</f>
        <v>28817</v>
      </c>
      <c r="F12" s="5">
        <v>5</v>
      </c>
      <c r="G12" s="12">
        <f>'Versão Completa'!I12</f>
        <v>547</v>
      </c>
      <c r="H12" s="12">
        <f>'Versão Completa'!U12</f>
        <v>749</v>
      </c>
      <c r="I12" s="36">
        <f>'Versão Completa'!V12</f>
        <v>158</v>
      </c>
      <c r="J12" s="36">
        <f>'Versão Completa'!W12</f>
        <v>307</v>
      </c>
      <c r="K12" s="3">
        <f>'Versão Completa'!X12</f>
        <v>-149</v>
      </c>
      <c r="L12" s="12">
        <f>'Versão Completa'!Y12</f>
        <v>600</v>
      </c>
      <c r="M12" s="15"/>
    </row>
    <row r="13" spans="1:13" x14ac:dyDescent="0.2">
      <c r="A13" s="15"/>
      <c r="B13" s="68"/>
      <c r="C13" s="1" t="str">
        <f>'Versão Completa'!C13</f>
        <v>Tonani</v>
      </c>
      <c r="D13" s="1" t="str">
        <f>'Versão Completa'!D13</f>
        <v>Vila Mariana</v>
      </c>
      <c r="E13" s="3">
        <f>'Versão Completa'!E13</f>
        <v>32672</v>
      </c>
      <c r="F13" s="5">
        <v>7</v>
      </c>
      <c r="G13" s="12">
        <f>'Versão Completa'!I13</f>
        <v>553</v>
      </c>
      <c r="H13" s="12">
        <f>'Versão Completa'!U13</f>
        <v>570</v>
      </c>
      <c r="I13" s="36">
        <f>'Versão Completa'!V13</f>
        <v>105</v>
      </c>
      <c r="J13" s="36">
        <f>'Versão Completa'!W13</f>
        <v>155</v>
      </c>
      <c r="K13" s="3">
        <f>'Versão Completa'!X13</f>
        <v>-50</v>
      </c>
      <c r="L13" s="12">
        <f>'Versão Completa'!Y13</f>
        <v>520</v>
      </c>
      <c r="M13" s="15"/>
    </row>
    <row r="14" spans="1:13" x14ac:dyDescent="0.2">
      <c r="A14" s="15"/>
      <c r="B14" s="67" t="s">
        <v>20</v>
      </c>
      <c r="C14" s="1" t="str">
        <f>'Versão Completa'!C14</f>
        <v>Florestana</v>
      </c>
      <c r="D14" s="1" t="str">
        <f>'Versão Completa'!D14</f>
        <v>Santo Amaro</v>
      </c>
      <c r="E14" s="3">
        <f>'Versão Completa'!E14</f>
        <v>39466</v>
      </c>
      <c r="F14" s="5">
        <v>4</v>
      </c>
      <c r="G14" s="12">
        <f>'Versão Completa'!I14</f>
        <v>434</v>
      </c>
      <c r="H14" s="12">
        <f>'Versão Completa'!U14</f>
        <v>265</v>
      </c>
      <c r="I14" s="36">
        <f>'Versão Completa'!V14</f>
        <v>202</v>
      </c>
      <c r="J14" s="36">
        <f>'Versão Completa'!W14</f>
        <v>277</v>
      </c>
      <c r="K14" s="3">
        <f>'Versão Completa'!X14</f>
        <v>-75</v>
      </c>
      <c r="L14" s="12">
        <f>'Versão Completa'!Y14</f>
        <v>190</v>
      </c>
      <c r="M14" s="15"/>
    </row>
    <row r="15" spans="1:13" x14ac:dyDescent="0.2">
      <c r="A15" s="15"/>
      <c r="B15" s="68"/>
      <c r="C15" s="1" t="str">
        <f>'Versão Completa'!C15</f>
        <v>Florestana</v>
      </c>
      <c r="D15" s="1" t="str">
        <f>'Versão Completa'!D15</f>
        <v>Pinheiros</v>
      </c>
      <c r="E15" s="3">
        <f>'Versão Completa'!E15</f>
        <v>49883</v>
      </c>
      <c r="F15" s="5">
        <v>6</v>
      </c>
      <c r="G15" s="12">
        <f>'Versão Completa'!I15</f>
        <v>247</v>
      </c>
      <c r="H15" s="12">
        <f>'Versão Completa'!U15</f>
        <v>330</v>
      </c>
      <c r="I15" s="36">
        <f>'Versão Completa'!V15</f>
        <v>180</v>
      </c>
      <c r="J15" s="36">
        <f>'Versão Completa'!W15</f>
        <v>155</v>
      </c>
      <c r="K15" s="3">
        <f>'Versão Completa'!X15</f>
        <v>25</v>
      </c>
      <c r="L15" s="12">
        <f>'Versão Completa'!Y15</f>
        <v>355</v>
      </c>
      <c r="M15" s="15"/>
    </row>
    <row r="16" spans="1:13" x14ac:dyDescent="0.2">
      <c r="A16" s="15"/>
      <c r="B16" s="68"/>
      <c r="C16" s="1" t="str">
        <f>'Versão Completa'!C16</f>
        <v>Florestana</v>
      </c>
      <c r="D16" s="1" t="str">
        <f>'Versão Completa'!D16</f>
        <v>Butantã</v>
      </c>
      <c r="E16" s="3">
        <f>'Versão Completa'!E16</f>
        <v>49160</v>
      </c>
      <c r="F16" s="5">
        <v>6</v>
      </c>
      <c r="G16" s="12">
        <f>'Versão Completa'!I16</f>
        <v>825</v>
      </c>
      <c r="H16" s="12">
        <f>'Versão Completa'!U16</f>
        <v>1012</v>
      </c>
      <c r="I16" s="36">
        <f>'Versão Completa'!V16</f>
        <v>183</v>
      </c>
      <c r="J16" s="36">
        <f>'Versão Completa'!W16</f>
        <v>384</v>
      </c>
      <c r="K16" s="3">
        <f>'Versão Completa'!X16</f>
        <v>-201</v>
      </c>
      <c r="L16" s="12">
        <f>'Versão Completa'!Y16</f>
        <v>811</v>
      </c>
      <c r="M16" s="15"/>
    </row>
    <row r="17" spans="1:13" x14ac:dyDescent="0.2">
      <c r="A17" s="15"/>
      <c r="B17" s="67" t="s">
        <v>26</v>
      </c>
      <c r="C17" s="1" t="str">
        <f>'Versão Completa'!C17</f>
        <v>Florestana</v>
      </c>
      <c r="D17" s="1" t="str">
        <f>'Versão Completa'!D17</f>
        <v>Lapa</v>
      </c>
      <c r="E17" s="3">
        <f>'Versão Completa'!E17</f>
        <v>26745</v>
      </c>
      <c r="F17" s="5">
        <v>6</v>
      </c>
      <c r="G17" s="12">
        <f>'Versão Completa'!I17</f>
        <v>605</v>
      </c>
      <c r="H17" s="12">
        <f>'Versão Completa'!U17</f>
        <v>537</v>
      </c>
      <c r="I17" s="36">
        <f>'Versão Completa'!V17</f>
        <v>158</v>
      </c>
      <c r="J17" s="36">
        <f>'Versão Completa'!W17</f>
        <v>169</v>
      </c>
      <c r="K17" s="3">
        <f>'Versão Completa'!X17</f>
        <v>-11</v>
      </c>
      <c r="L17" s="12">
        <f>'Versão Completa'!Y17</f>
        <v>526</v>
      </c>
      <c r="M17" s="15"/>
    </row>
    <row r="18" spans="1:13" x14ac:dyDescent="0.2">
      <c r="A18" s="15"/>
      <c r="B18" s="68"/>
      <c r="C18" s="1" t="str">
        <f>'Versão Completa'!C18</f>
        <v>Florestana</v>
      </c>
      <c r="D18" s="1" t="str">
        <f>'Versão Completa'!D18</f>
        <v xml:space="preserve">Sé </v>
      </c>
      <c r="E18" s="3">
        <f>'Versão Completa'!E18</f>
        <v>22493</v>
      </c>
      <c r="F18" s="5">
        <v>18</v>
      </c>
      <c r="G18" s="12">
        <f>'Versão Completa'!I18</f>
        <v>589</v>
      </c>
      <c r="H18" s="12">
        <f>'Versão Completa'!U18</f>
        <v>549</v>
      </c>
      <c r="I18" s="36">
        <f>'Versão Completa'!V18</f>
        <v>171</v>
      </c>
      <c r="J18" s="36">
        <f>'Versão Completa'!W18</f>
        <v>217</v>
      </c>
      <c r="K18" s="3">
        <f>'Versão Completa'!X18</f>
        <v>-46</v>
      </c>
      <c r="L18" s="12">
        <f>'Versão Completa'!Y18</f>
        <v>503</v>
      </c>
      <c r="M18" s="15"/>
    </row>
    <row r="19" spans="1:13" x14ac:dyDescent="0.2">
      <c r="A19" s="15"/>
      <c r="B19" s="68"/>
      <c r="C19" s="1" t="str">
        <f>'Versão Completa'!C19</f>
        <v>Florestana</v>
      </c>
      <c r="D19" s="1" t="str">
        <f>'Versão Completa'!D19</f>
        <v>Freguesia</v>
      </c>
      <c r="E19" s="3">
        <f>'Versão Completa'!E19</f>
        <v>11785</v>
      </c>
      <c r="F19" s="5">
        <v>4</v>
      </c>
      <c r="G19" s="12">
        <f>'Versão Completa'!I19</f>
        <v>515</v>
      </c>
      <c r="H19" s="12">
        <f>'Versão Completa'!U19</f>
        <v>412</v>
      </c>
      <c r="I19" s="36">
        <f>'Versão Completa'!V19</f>
        <v>69</v>
      </c>
      <c r="J19" s="36">
        <f>'Versão Completa'!W19</f>
        <v>286</v>
      </c>
      <c r="K19" s="3">
        <f>'Versão Completa'!X19</f>
        <v>-217</v>
      </c>
      <c r="L19" s="12">
        <f>'Versão Completa'!Y19</f>
        <v>195</v>
      </c>
      <c r="M19" s="15"/>
    </row>
    <row r="20" spans="1:13" x14ac:dyDescent="0.2">
      <c r="A20" s="15"/>
      <c r="B20" s="68"/>
      <c r="C20" s="1" t="str">
        <f>'Versão Completa'!C20</f>
        <v>Florestana</v>
      </c>
      <c r="D20" s="1" t="str">
        <f>'Versão Completa'!D20</f>
        <v>Casa Verde</v>
      </c>
      <c r="E20" s="3">
        <f>'Versão Completa'!E20</f>
        <v>15783</v>
      </c>
      <c r="F20" s="5">
        <v>5</v>
      </c>
      <c r="G20" s="12">
        <f>'Versão Completa'!I20</f>
        <v>812</v>
      </c>
      <c r="H20" s="12">
        <f>'Versão Completa'!U20</f>
        <v>352</v>
      </c>
      <c r="I20" s="36">
        <f>'Versão Completa'!V20</f>
        <v>72</v>
      </c>
      <c r="J20" s="36">
        <f>'Versão Completa'!W20</f>
        <v>383</v>
      </c>
      <c r="K20" s="3">
        <f>'Versão Completa'!X20</f>
        <v>-311</v>
      </c>
      <c r="L20" s="12">
        <f>'Versão Completa'!Y20</f>
        <v>41</v>
      </c>
      <c r="M20" s="15"/>
    </row>
    <row r="21" spans="1:13" x14ac:dyDescent="0.2">
      <c r="A21" s="15"/>
      <c r="B21" s="67" t="s">
        <v>31</v>
      </c>
      <c r="C21" s="1" t="str">
        <f>'Versão Completa'!C21</f>
        <v>FBF</v>
      </c>
      <c r="D21" s="1" t="str">
        <f>'Versão Completa'!D21</f>
        <v>Perus</v>
      </c>
      <c r="E21" s="3">
        <f>'Versão Completa'!E21</f>
        <v>9526</v>
      </c>
      <c r="F21" s="5">
        <v>3</v>
      </c>
      <c r="G21" s="12">
        <f>'Versão Completa'!I21</f>
        <v>122</v>
      </c>
      <c r="H21" s="12">
        <f>'Versão Completa'!U21</f>
        <v>64</v>
      </c>
      <c r="I21" s="36">
        <f>'Versão Completa'!V21</f>
        <v>41</v>
      </c>
      <c r="J21" s="36">
        <f>'Versão Completa'!W21</f>
        <v>69</v>
      </c>
      <c r="K21" s="3">
        <f>'Versão Completa'!X21</f>
        <v>-28</v>
      </c>
      <c r="L21" s="12">
        <f>'Versão Completa'!Y21</f>
        <v>36</v>
      </c>
      <c r="M21" s="15"/>
    </row>
    <row r="22" spans="1:13" x14ac:dyDescent="0.2">
      <c r="A22" s="15"/>
      <c r="B22" s="68"/>
      <c r="C22" s="1" t="str">
        <f>'Versão Completa'!C22</f>
        <v>FBF</v>
      </c>
      <c r="D22" s="1" t="str">
        <f>'Versão Completa'!D22</f>
        <v>Pirituba</v>
      </c>
      <c r="E22" s="3">
        <f>'Versão Completa'!E22</f>
        <v>26960</v>
      </c>
      <c r="F22" s="5">
        <v>6</v>
      </c>
      <c r="G22" s="12">
        <f>'Versão Completa'!I22</f>
        <v>2038</v>
      </c>
      <c r="H22" s="12">
        <f>'Versão Completa'!U22</f>
        <v>2077</v>
      </c>
      <c r="I22" s="36">
        <f>'Versão Completa'!V22</f>
        <v>116</v>
      </c>
      <c r="J22" s="36">
        <f>'Versão Completa'!W22</f>
        <v>363</v>
      </c>
      <c r="K22" s="3">
        <f>'Versão Completa'!X22</f>
        <v>-247</v>
      </c>
      <c r="L22" s="12">
        <f>'Versão Completa'!Y22</f>
        <v>1830</v>
      </c>
      <c r="M22" s="15"/>
    </row>
    <row r="23" spans="1:13" x14ac:dyDescent="0.2">
      <c r="A23" s="15"/>
      <c r="B23" s="67" t="s">
        <v>32</v>
      </c>
      <c r="C23" s="1" t="str">
        <f>'Versão Completa'!C23</f>
        <v>FBF</v>
      </c>
      <c r="D23" s="1" t="str">
        <f>'Versão Completa'!D23</f>
        <v>Santana</v>
      </c>
      <c r="E23" s="3">
        <f>'Versão Completa'!E23</f>
        <v>21234</v>
      </c>
      <c r="F23" s="5">
        <v>4</v>
      </c>
      <c r="G23" s="12">
        <f>'Versão Completa'!I23</f>
        <v>142</v>
      </c>
      <c r="H23" s="12">
        <f>'Versão Completa'!U23</f>
        <v>206</v>
      </c>
      <c r="I23" s="36">
        <f>'Versão Completa'!V23</f>
        <v>150</v>
      </c>
      <c r="J23" s="36">
        <f>'Versão Completa'!W23</f>
        <v>257</v>
      </c>
      <c r="K23" s="3">
        <f>'Versão Completa'!X23</f>
        <v>-107</v>
      </c>
      <c r="L23" s="12">
        <f>'Versão Completa'!Y23</f>
        <v>99</v>
      </c>
      <c r="M23" s="15"/>
    </row>
    <row r="24" spans="1:13" x14ac:dyDescent="0.2">
      <c r="A24" s="15"/>
      <c r="B24" s="68"/>
      <c r="C24" s="1" t="str">
        <f>'Versão Completa'!C24</f>
        <v>FBF</v>
      </c>
      <c r="D24" s="1" t="str">
        <f>'Versão Completa'!D24</f>
        <v xml:space="preserve">Vila Maria </v>
      </c>
      <c r="E24" s="3">
        <f>'Versão Completa'!E24</f>
        <v>20370</v>
      </c>
      <c r="F24" s="5">
        <v>4</v>
      </c>
      <c r="G24" s="12">
        <f>'Versão Completa'!I24</f>
        <v>890</v>
      </c>
      <c r="H24" s="12">
        <f>'Versão Completa'!U24</f>
        <v>608</v>
      </c>
      <c r="I24" s="36">
        <f>'Versão Completa'!V24</f>
        <v>104</v>
      </c>
      <c r="J24" s="36">
        <f>'Versão Completa'!W24</f>
        <v>67</v>
      </c>
      <c r="K24" s="3">
        <f>'Versão Completa'!X24</f>
        <v>37</v>
      </c>
      <c r="L24" s="12">
        <f>'Versão Completa'!Y24</f>
        <v>645</v>
      </c>
      <c r="M24" s="15"/>
    </row>
    <row r="25" spans="1:13" x14ac:dyDescent="0.2">
      <c r="A25" s="15"/>
      <c r="B25" s="68"/>
      <c r="C25" s="1" t="str">
        <f>'Versão Completa'!C25</f>
        <v>FBF</v>
      </c>
      <c r="D25" s="1" t="str">
        <f>'Versão Completa'!D25</f>
        <v>Jaçanã</v>
      </c>
      <c r="E25" s="3">
        <f>'Versão Completa'!E25</f>
        <v>10758</v>
      </c>
      <c r="F25" s="5">
        <v>4</v>
      </c>
      <c r="G25" s="12">
        <f>'Versão Completa'!I25</f>
        <v>422</v>
      </c>
      <c r="H25" s="12">
        <f>'Versão Completa'!U25</f>
        <v>232</v>
      </c>
      <c r="I25" s="36">
        <f>'Versão Completa'!V25</f>
        <v>86</v>
      </c>
      <c r="J25" s="36">
        <f>'Versão Completa'!W25</f>
        <v>142</v>
      </c>
      <c r="K25" s="3">
        <f>'Versão Completa'!X25</f>
        <v>-56</v>
      </c>
      <c r="L25" s="12">
        <f>'Versão Completa'!Y25</f>
        <v>176</v>
      </c>
      <c r="M25" s="15"/>
    </row>
    <row r="26" spans="1:13" x14ac:dyDescent="0.2">
      <c r="A26" s="15"/>
      <c r="B26" s="67" t="s">
        <v>39</v>
      </c>
      <c r="C26" s="1" t="str">
        <f>'Versão Completa'!C26</f>
        <v>Molise</v>
      </c>
      <c r="D26" s="1" t="str">
        <f>'Versão Completa'!D26</f>
        <v>Mooca</v>
      </c>
      <c r="E26" s="3">
        <f>'Versão Completa'!E26</f>
        <v>20171</v>
      </c>
      <c r="F26" s="5">
        <v>6</v>
      </c>
      <c r="G26" s="12">
        <f>'Versão Completa'!I26</f>
        <v>681</v>
      </c>
      <c r="H26" s="12">
        <f>'Versão Completa'!U26</f>
        <v>544</v>
      </c>
      <c r="I26" s="36">
        <f>'Versão Completa'!V26</f>
        <v>212</v>
      </c>
      <c r="J26" s="36">
        <f>'Versão Completa'!W26</f>
        <v>394</v>
      </c>
      <c r="K26" s="3">
        <f>'Versão Completa'!X26</f>
        <v>-182</v>
      </c>
      <c r="L26" s="12">
        <f>'Versão Completa'!Y26</f>
        <v>362</v>
      </c>
      <c r="M26" s="15"/>
    </row>
    <row r="27" spans="1:13" x14ac:dyDescent="0.2">
      <c r="A27" s="15"/>
      <c r="B27" s="68"/>
      <c r="C27" s="1" t="str">
        <f>'Versão Completa'!C27</f>
        <v>Molise</v>
      </c>
      <c r="D27" s="1" t="str">
        <f>'Versão Completa'!D27</f>
        <v xml:space="preserve">Penha </v>
      </c>
      <c r="E27" s="3">
        <f>'Versão Completa'!E27</f>
        <v>24311</v>
      </c>
      <c r="F27" s="5">
        <v>4</v>
      </c>
      <c r="G27" s="12">
        <f>'Versão Completa'!I27</f>
        <v>762</v>
      </c>
      <c r="H27" s="12">
        <f>'Versão Completa'!U27</f>
        <v>401</v>
      </c>
      <c r="I27" s="36">
        <f>'Versão Completa'!V27</f>
        <v>147</v>
      </c>
      <c r="J27" s="36">
        <f>'Versão Completa'!W27</f>
        <v>92</v>
      </c>
      <c r="K27" s="3">
        <f>'Versão Completa'!X27</f>
        <v>55</v>
      </c>
      <c r="L27" s="12">
        <f>'Versão Completa'!Y27</f>
        <v>456</v>
      </c>
      <c r="M27" s="15"/>
    </row>
    <row r="28" spans="1:13" x14ac:dyDescent="0.2">
      <c r="A28" s="15"/>
      <c r="B28" s="68"/>
      <c r="C28" s="1" t="str">
        <f>'Versão Completa'!C28</f>
        <v>Molise</v>
      </c>
      <c r="D28" s="1" t="str">
        <f>'Versão Completa'!D28</f>
        <v>Ermelino</v>
      </c>
      <c r="E28" s="3">
        <f>'Versão Completa'!E28</f>
        <v>11787</v>
      </c>
      <c r="F28" s="5">
        <v>3</v>
      </c>
      <c r="G28" s="12">
        <f>'Versão Completa'!I28</f>
        <v>68</v>
      </c>
      <c r="H28" s="12">
        <f>'Versão Completa'!U28</f>
        <v>68</v>
      </c>
      <c r="I28" s="36">
        <f>'Versão Completa'!V28</f>
        <v>41</v>
      </c>
      <c r="J28" s="36">
        <f>'Versão Completa'!W28</f>
        <v>84</v>
      </c>
      <c r="K28" s="3">
        <f>'Versão Completa'!X28</f>
        <v>-43</v>
      </c>
      <c r="L28" s="12">
        <f>'Versão Completa'!Y28</f>
        <v>25</v>
      </c>
      <c r="M28" s="15"/>
    </row>
    <row r="29" spans="1:13" x14ac:dyDescent="0.2">
      <c r="A29" s="15"/>
      <c r="B29" s="67" t="s">
        <v>40</v>
      </c>
      <c r="C29" s="13" t="str">
        <f>'Versão Completa'!C29</f>
        <v>Molise</v>
      </c>
      <c r="D29" s="1" t="str">
        <f>'Versão Completa'!D29</f>
        <v>Vila Prudente</v>
      </c>
      <c r="E29" s="3">
        <f>'Versão Completa'!E29</f>
        <v>13819</v>
      </c>
      <c r="F29" s="5">
        <v>3</v>
      </c>
      <c r="G29" s="12">
        <f>'Versão Completa'!I29</f>
        <v>51</v>
      </c>
      <c r="H29" s="12">
        <f>'Versão Completa'!U29</f>
        <v>56</v>
      </c>
      <c r="I29" s="36">
        <f>'Versão Completa'!V29</f>
        <v>98</v>
      </c>
      <c r="J29" s="36">
        <f>'Versão Completa'!W29</f>
        <v>92</v>
      </c>
      <c r="K29" s="3">
        <f>'Versão Completa'!X29</f>
        <v>6</v>
      </c>
      <c r="L29" s="12">
        <f>'Versão Completa'!Y29</f>
        <v>62</v>
      </c>
      <c r="M29" s="15"/>
    </row>
    <row r="30" spans="1:13" x14ac:dyDescent="0.2">
      <c r="A30" s="15"/>
      <c r="B30" s="68"/>
      <c r="C30" s="1" t="str">
        <f>'Versão Completa'!C30</f>
        <v>Corpotec</v>
      </c>
      <c r="D30" s="1" t="str">
        <f>'Versão Completa'!D30</f>
        <v>Aricanduva</v>
      </c>
      <c r="E30" s="3">
        <f>'Versão Completa'!E30</f>
        <v>14231</v>
      </c>
      <c r="F30" s="5">
        <v>3</v>
      </c>
      <c r="G30" s="12">
        <f>'Versão Completa'!I30</f>
        <v>131</v>
      </c>
      <c r="H30" s="12">
        <f>'Versão Completa'!U30</f>
        <v>157</v>
      </c>
      <c r="I30" s="36">
        <f>'Versão Completa'!V30</f>
        <v>119</v>
      </c>
      <c r="J30" s="36">
        <f>'Versão Completa'!W30</f>
        <v>148</v>
      </c>
      <c r="K30" s="3">
        <f>'Versão Completa'!X30</f>
        <v>-29</v>
      </c>
      <c r="L30" s="12">
        <f>'Versão Completa'!Y30</f>
        <v>128</v>
      </c>
      <c r="M30" s="15"/>
    </row>
    <row r="31" spans="1:13" x14ac:dyDescent="0.2">
      <c r="A31" s="15"/>
      <c r="B31" s="67" t="s">
        <v>60</v>
      </c>
      <c r="C31" s="1" t="str">
        <f>'Versão Completa'!C31</f>
        <v>Hiplan</v>
      </c>
      <c r="D31" s="1" t="str">
        <f>'Versão Completa'!D31</f>
        <v>Sapopemba</v>
      </c>
      <c r="E31" s="3">
        <f>'Versão Completa'!E31</f>
        <v>8256</v>
      </c>
      <c r="F31" s="5">
        <v>3</v>
      </c>
      <c r="G31" s="12">
        <f>'Versão Completa'!I31</f>
        <v>61</v>
      </c>
      <c r="H31" s="12">
        <f>'Versão Completa'!U31</f>
        <v>146</v>
      </c>
      <c r="I31" s="36">
        <f>'Versão Completa'!V31</f>
        <v>67</v>
      </c>
      <c r="J31" s="36">
        <f>'Versão Completa'!W31</f>
        <v>51</v>
      </c>
      <c r="K31" s="3">
        <f>'Versão Completa'!X31</f>
        <v>16</v>
      </c>
      <c r="L31" s="12">
        <f>'Versão Completa'!Y31</f>
        <v>162</v>
      </c>
      <c r="M31" s="15"/>
    </row>
    <row r="32" spans="1:13" x14ac:dyDescent="0.2">
      <c r="A32" s="15"/>
      <c r="B32" s="68"/>
      <c r="C32" s="13" t="str">
        <f>'Versão Completa'!C32</f>
        <v>Potenza</v>
      </c>
      <c r="D32" s="1" t="str">
        <f>'Versão Completa'!D32</f>
        <v>São Mateus</v>
      </c>
      <c r="E32" s="3">
        <f>'Versão Completa'!E32</f>
        <v>23367</v>
      </c>
      <c r="F32" s="5">
        <v>2</v>
      </c>
      <c r="G32" s="12">
        <f>'Versão Completa'!I32</f>
        <v>183</v>
      </c>
      <c r="H32" s="12">
        <f>'Versão Completa'!U32</f>
        <v>162</v>
      </c>
      <c r="I32" s="36">
        <f>'Versão Completa'!V32</f>
        <v>84</v>
      </c>
      <c r="J32" s="36">
        <f>'Versão Completa'!W32</f>
        <v>84</v>
      </c>
      <c r="K32" s="3">
        <f>'Versão Completa'!X32</f>
        <v>0</v>
      </c>
      <c r="L32" s="12">
        <f>'Versão Completa'!Y32</f>
        <v>162</v>
      </c>
      <c r="M32" s="15"/>
    </row>
    <row r="33" spans="1:13" x14ac:dyDescent="0.2">
      <c r="A33" s="15"/>
      <c r="B33" s="67" t="s">
        <v>61</v>
      </c>
      <c r="C33" s="1" t="str">
        <f>'Versão Completa'!C33</f>
        <v>Hiplan</v>
      </c>
      <c r="D33" s="1" t="str">
        <f>'Versão Completa'!D33</f>
        <v>Itaquera</v>
      </c>
      <c r="E33" s="3">
        <f>'Versão Completa'!E33</f>
        <v>25526</v>
      </c>
      <c r="F33" s="5">
        <v>5</v>
      </c>
      <c r="G33" s="12">
        <f>'Versão Completa'!I33</f>
        <v>2152</v>
      </c>
      <c r="H33" s="12">
        <f>'Versão Completa'!U33</f>
        <v>2157</v>
      </c>
      <c r="I33" s="36">
        <f>'Versão Completa'!V33</f>
        <v>98</v>
      </c>
      <c r="J33" s="36">
        <f>'Versão Completa'!W33</f>
        <v>1297</v>
      </c>
      <c r="K33" s="3">
        <f>'Versão Completa'!X33</f>
        <v>-1199</v>
      </c>
      <c r="L33" s="12">
        <f>'Versão Completa'!Y33</f>
        <v>958</v>
      </c>
      <c r="M33" s="15"/>
    </row>
    <row r="34" spans="1:13" x14ac:dyDescent="0.2">
      <c r="A34" s="15"/>
      <c r="B34" s="68"/>
      <c r="C34" s="1" t="str">
        <f>'Versão Completa'!C34</f>
        <v>Hiplan</v>
      </c>
      <c r="D34" s="1" t="str">
        <f>'Versão Completa'!D34</f>
        <v>São Miguel Pta</v>
      </c>
      <c r="E34" s="3">
        <f>'Versão Completa'!E34</f>
        <v>14910</v>
      </c>
      <c r="F34" s="5">
        <v>2</v>
      </c>
      <c r="G34" s="12">
        <f>'Versão Completa'!I34</f>
        <v>176</v>
      </c>
      <c r="H34" s="12">
        <f>'Versão Completa'!U34</f>
        <v>85</v>
      </c>
      <c r="I34" s="36">
        <f>'Versão Completa'!V34</f>
        <v>61</v>
      </c>
      <c r="J34" s="36">
        <f>'Versão Completa'!W34</f>
        <v>66</v>
      </c>
      <c r="K34" s="3">
        <f>'Versão Completa'!X34</f>
        <v>-5</v>
      </c>
      <c r="L34" s="12">
        <f>'Versão Completa'!Y34</f>
        <v>80</v>
      </c>
      <c r="M34" s="15"/>
    </row>
    <row r="35" spans="1:13" x14ac:dyDescent="0.2">
      <c r="A35" s="15"/>
      <c r="B35" s="68"/>
      <c r="C35" s="13" t="str">
        <f>'Versão Completa'!C35</f>
        <v>Demax</v>
      </c>
      <c r="D35" s="1" t="str">
        <f>'Versão Completa'!D35</f>
        <v>Itaim Paulista</v>
      </c>
      <c r="E35" s="3">
        <f>'Versão Completa'!E35</f>
        <v>9784</v>
      </c>
      <c r="F35" s="5">
        <v>3</v>
      </c>
      <c r="G35" s="12">
        <f>'Versão Completa'!I35</f>
        <v>518</v>
      </c>
      <c r="H35" s="12">
        <f>'Versão Completa'!U35</f>
        <v>401</v>
      </c>
      <c r="I35" s="36">
        <f>'Versão Completa'!V35</f>
        <v>75</v>
      </c>
      <c r="J35" s="36">
        <f>'Versão Completa'!W35</f>
        <v>214</v>
      </c>
      <c r="K35" s="3">
        <f>'Versão Completa'!X35</f>
        <v>-139</v>
      </c>
      <c r="L35" s="12">
        <f>'Versão Completa'!Y35</f>
        <v>262</v>
      </c>
      <c r="M35" s="15"/>
    </row>
    <row r="36" spans="1:13" x14ac:dyDescent="0.2">
      <c r="A36" s="15"/>
      <c r="B36" s="67" t="s">
        <v>62</v>
      </c>
      <c r="C36" s="13" t="str">
        <f>'Versão Completa'!C36</f>
        <v>Demax</v>
      </c>
      <c r="D36" s="1" t="str">
        <f>'Versão Completa'!D36</f>
        <v>Guaianases</v>
      </c>
      <c r="E36" s="3">
        <f>'Versão Completa'!E36</f>
        <v>7872</v>
      </c>
      <c r="F36" s="5">
        <v>3</v>
      </c>
      <c r="G36" s="12">
        <f>'Versão Completa'!I36</f>
        <v>68</v>
      </c>
      <c r="H36" s="12">
        <f>'Versão Completa'!U36</f>
        <v>66</v>
      </c>
      <c r="I36" s="36">
        <f>'Versão Completa'!V36</f>
        <v>59</v>
      </c>
      <c r="J36" s="36">
        <f>'Versão Completa'!W36</f>
        <v>78</v>
      </c>
      <c r="K36" s="3">
        <f>'Versão Completa'!X36</f>
        <v>-19</v>
      </c>
      <c r="L36" s="12">
        <f>'Versão Completa'!Y36</f>
        <v>47</v>
      </c>
      <c r="M36" s="15"/>
    </row>
    <row r="37" spans="1:13" x14ac:dyDescent="0.2">
      <c r="A37" s="15"/>
      <c r="B37" s="68"/>
      <c r="C37" s="1" t="str">
        <f>'Versão Completa'!C37</f>
        <v>Hiplan</v>
      </c>
      <c r="D37" s="1" t="str">
        <f>'Versão Completa'!D37</f>
        <v xml:space="preserve">Cidade Tiradentes </v>
      </c>
      <c r="E37" s="3">
        <f>'Versão Completa'!E37</f>
        <v>3520</v>
      </c>
      <c r="F37" s="5">
        <v>2</v>
      </c>
      <c r="G37" s="12">
        <f>'Versão Completa'!I37</f>
        <v>468</v>
      </c>
      <c r="H37" s="12">
        <f>'Versão Completa'!U37</f>
        <v>286</v>
      </c>
      <c r="I37" s="36">
        <f>'Versão Completa'!V37</f>
        <v>26</v>
      </c>
      <c r="J37" s="36">
        <f>'Versão Completa'!W37</f>
        <v>141</v>
      </c>
      <c r="K37" s="3">
        <f>'Versão Completa'!X37</f>
        <v>-115</v>
      </c>
      <c r="L37" s="12">
        <f>'Versão Completa'!Y37</f>
        <v>171</v>
      </c>
      <c r="M37" s="15"/>
    </row>
    <row r="38" spans="1:13" x14ac:dyDescent="0.2">
      <c r="A38" s="15"/>
      <c r="B38" s="49" t="s">
        <v>56</v>
      </c>
      <c r="C38" s="1" t="str">
        <f>'Versão Completa'!C38</f>
        <v>Potenza</v>
      </c>
      <c r="D38" s="1" t="str">
        <f>'Versão Completa'!D38</f>
        <v>DZU</v>
      </c>
      <c r="E38" s="3">
        <f>'Versão Completa'!E38</f>
        <v>0</v>
      </c>
      <c r="F38" s="5">
        <v>22</v>
      </c>
      <c r="G38" s="12">
        <f>'Versão Completa'!I38</f>
        <v>2379</v>
      </c>
      <c r="H38" s="12">
        <f>'Versão Completa'!U38</f>
        <v>568</v>
      </c>
      <c r="I38" s="36">
        <f>'Versão Completa'!V38</f>
        <v>181</v>
      </c>
      <c r="J38" s="36">
        <f>'Versão Completa'!W38</f>
        <v>406</v>
      </c>
      <c r="K38" s="3">
        <f>'Versão Completa'!X38</f>
        <v>-225</v>
      </c>
      <c r="L38" s="12">
        <f>'Versão Completa'!Y38</f>
        <v>343</v>
      </c>
      <c r="M38" s="15"/>
    </row>
    <row r="39" spans="1:13" x14ac:dyDescent="0.2">
      <c r="A39" s="15"/>
      <c r="B39" s="72" t="s">
        <v>72</v>
      </c>
      <c r="C39" s="72"/>
      <c r="D39" s="72"/>
      <c r="E39" s="32">
        <f>SUM(E6:E38)</f>
        <v>652146</v>
      </c>
      <c r="F39" s="32">
        <f>SUM(F6:F38)</f>
        <v>166</v>
      </c>
      <c r="G39" s="32">
        <f>SUM(G6:G38)</f>
        <v>18397</v>
      </c>
      <c r="H39" s="32">
        <f>SUM(H6:H38)</f>
        <v>14536</v>
      </c>
      <c r="I39" s="32">
        <f t="shared" ref="I39:J39" si="0">SUM(I6:I38)</f>
        <v>3825</v>
      </c>
      <c r="J39" s="32">
        <f t="shared" si="0"/>
        <v>7115</v>
      </c>
      <c r="K39" s="32">
        <f>I39-J39</f>
        <v>-3290</v>
      </c>
      <c r="L39" s="32">
        <f t="shared" ref="L39" si="1">H39+I39-J39</f>
        <v>11246</v>
      </c>
      <c r="M39" s="15"/>
    </row>
    <row r="40" spans="1:13" ht="3.75" customHeight="1" x14ac:dyDescent="0.2">
      <c r="A40" s="15"/>
      <c r="B40" s="14"/>
      <c r="C40" s="15"/>
      <c r="D40" s="16"/>
      <c r="E40" s="17"/>
      <c r="F40" s="17"/>
      <c r="G40" s="17"/>
      <c r="H40" s="17"/>
      <c r="I40" s="17"/>
      <c r="J40" s="17"/>
      <c r="K40" s="17"/>
      <c r="L40" s="17"/>
      <c r="M40" s="15"/>
    </row>
    <row r="41" spans="1:13" hidden="1" x14ac:dyDescent="0.2">
      <c r="D41" s="6"/>
      <c r="E41" s="6"/>
      <c r="F41" s="6"/>
      <c r="G41" s="6"/>
      <c r="H41" s="11"/>
      <c r="I41" s="11"/>
      <c r="J41" s="11"/>
      <c r="K41" s="11"/>
      <c r="L41" s="11"/>
    </row>
    <row r="42" spans="1:13" hidden="1" x14ac:dyDescent="0.2">
      <c r="D42" s="6"/>
      <c r="E42" s="6"/>
      <c r="F42" s="6"/>
      <c r="G42" s="6"/>
      <c r="H42" s="11"/>
      <c r="I42" s="11"/>
      <c r="J42" s="11"/>
      <c r="K42" s="11"/>
      <c r="L42" s="11"/>
    </row>
    <row r="43" spans="1:13" hidden="1" x14ac:dyDescent="0.2">
      <c r="D43" s="6"/>
      <c r="E43" s="6"/>
      <c r="F43" s="6"/>
      <c r="G43" s="6"/>
      <c r="H43" s="11"/>
      <c r="I43" s="11"/>
      <c r="J43" s="11"/>
      <c r="K43" s="11"/>
      <c r="L43" s="11"/>
    </row>
    <row r="44" spans="1:13" hidden="1" x14ac:dyDescent="0.2">
      <c r="D44" s="10"/>
      <c r="E44" s="11"/>
      <c r="F44" s="11"/>
      <c r="G44" s="11"/>
      <c r="H44" s="11"/>
      <c r="I44" s="11"/>
      <c r="J44" s="11"/>
      <c r="K44" s="11"/>
      <c r="L44" s="11"/>
    </row>
    <row r="45" spans="1:13" hidden="1" x14ac:dyDescent="0.2">
      <c r="D45" s="10"/>
      <c r="E45" s="11"/>
      <c r="F45" s="11"/>
      <c r="G45" s="11"/>
      <c r="H45" s="11"/>
      <c r="I45" s="11"/>
      <c r="J45" s="11"/>
      <c r="K45" s="11"/>
      <c r="L45" s="11"/>
    </row>
    <row r="46" spans="1:13" hidden="1" x14ac:dyDescent="0.2">
      <c r="D46" s="10"/>
      <c r="E46" s="11"/>
      <c r="F46" s="11"/>
      <c r="G46" s="11"/>
      <c r="H46" s="11"/>
      <c r="I46" s="11"/>
      <c r="J46" s="11"/>
      <c r="K46" s="11"/>
      <c r="L46" s="11"/>
    </row>
    <row r="47" spans="1:13" hidden="1" x14ac:dyDescent="0.2">
      <c r="D47" s="10"/>
      <c r="E47" s="11"/>
      <c r="F47" s="11"/>
      <c r="G47" s="11"/>
      <c r="H47" s="11"/>
      <c r="I47" s="11"/>
      <c r="J47" s="11"/>
      <c r="K47" s="11"/>
      <c r="L47" s="11"/>
    </row>
    <row r="48" spans="1:13" hidden="1" x14ac:dyDescent="0.2">
      <c r="D48" s="10"/>
      <c r="E48" s="11"/>
      <c r="F48" s="11"/>
      <c r="G48" s="11"/>
      <c r="H48" s="11"/>
      <c r="I48" s="11"/>
      <c r="J48" s="11"/>
      <c r="K48" s="11"/>
      <c r="L48" s="11"/>
    </row>
    <row r="49" spans="4:12" hidden="1" x14ac:dyDescent="0.2">
      <c r="D49" s="10"/>
      <c r="E49" s="11"/>
      <c r="F49" s="11"/>
      <c r="G49" s="11"/>
      <c r="H49" s="11"/>
      <c r="I49" s="11"/>
      <c r="J49" s="11"/>
      <c r="K49" s="11"/>
      <c r="L49" s="11"/>
    </row>
    <row r="50" spans="4:12" hidden="1" x14ac:dyDescent="0.2">
      <c r="D50" s="10"/>
      <c r="E50" s="11"/>
      <c r="F50" s="11"/>
      <c r="G50" s="11"/>
      <c r="H50" s="11"/>
      <c r="I50" s="11"/>
      <c r="J50" s="11"/>
      <c r="K50" s="11"/>
      <c r="L50" s="11"/>
    </row>
    <row r="51" spans="4:12" hidden="1" x14ac:dyDescent="0.2">
      <c r="D51" s="10"/>
      <c r="E51" s="11"/>
      <c r="F51" s="11"/>
      <c r="G51" s="11"/>
      <c r="H51" s="11"/>
      <c r="I51" s="11"/>
      <c r="J51" s="11"/>
      <c r="K51" s="11"/>
      <c r="L51" s="11"/>
    </row>
    <row r="52" spans="4:12" hidden="1" x14ac:dyDescent="0.2">
      <c r="D52" s="10"/>
      <c r="E52" s="11"/>
      <c r="F52" s="11"/>
      <c r="G52" s="11"/>
      <c r="H52" s="11"/>
      <c r="I52" s="11"/>
      <c r="J52" s="11"/>
      <c r="K52" s="11"/>
      <c r="L52" s="11"/>
    </row>
    <row r="53" spans="4:12" hidden="1" x14ac:dyDescent="0.2">
      <c r="D53" s="10"/>
      <c r="E53" s="11"/>
      <c r="F53" s="11"/>
      <c r="G53" s="11"/>
      <c r="H53" s="11"/>
      <c r="I53" s="11"/>
      <c r="J53" s="11"/>
      <c r="K53" s="11"/>
      <c r="L53" s="11"/>
    </row>
    <row r="54" spans="4:12" hidden="1" x14ac:dyDescent="0.2">
      <c r="D54" s="10"/>
      <c r="E54" s="11"/>
      <c r="F54" s="11"/>
      <c r="G54" s="11"/>
      <c r="H54" s="11"/>
      <c r="I54" s="11"/>
      <c r="J54" s="11"/>
      <c r="K54" s="11"/>
      <c r="L54" s="11"/>
    </row>
    <row r="55" spans="4:12" hidden="1" x14ac:dyDescent="0.2">
      <c r="D55" s="10"/>
      <c r="E55" s="11"/>
      <c r="F55" s="11"/>
      <c r="G55" s="11"/>
      <c r="H55" s="11"/>
      <c r="I55" s="11"/>
      <c r="J55" s="11"/>
      <c r="K55" s="11"/>
      <c r="L55" s="11"/>
    </row>
    <row r="56" spans="4:12" hidden="1" x14ac:dyDescent="0.2">
      <c r="D56" s="10"/>
      <c r="E56" s="11"/>
      <c r="F56" s="11"/>
      <c r="G56" s="11"/>
      <c r="H56" s="11"/>
      <c r="I56" s="11"/>
      <c r="J56" s="11"/>
      <c r="K56" s="11"/>
      <c r="L56" s="11"/>
    </row>
    <row r="57" spans="4:12" hidden="1" x14ac:dyDescent="0.2">
      <c r="D57" s="10"/>
      <c r="E57" s="11"/>
      <c r="F57" s="11"/>
      <c r="G57" s="11"/>
      <c r="H57" s="11"/>
      <c r="I57" s="11"/>
      <c r="J57" s="11"/>
      <c r="K57" s="11"/>
      <c r="L57" s="11"/>
    </row>
  </sheetData>
  <mergeCells count="14">
    <mergeCell ref="B29:B30"/>
    <mergeCell ref="B31:B32"/>
    <mergeCell ref="B33:B35"/>
    <mergeCell ref="B36:B37"/>
    <mergeCell ref="B39:D39"/>
    <mergeCell ref="B26:B28"/>
    <mergeCell ref="C2:L2"/>
    <mergeCell ref="I4:K4"/>
    <mergeCell ref="B6:B10"/>
    <mergeCell ref="B11:B13"/>
    <mergeCell ref="B14:B16"/>
    <mergeCell ref="B17:B20"/>
    <mergeCell ref="B21:B22"/>
    <mergeCell ref="B23:B25"/>
  </mergeCells>
  <conditionalFormatting sqref="K6:K39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Versão Completa</vt:lpstr>
      <vt:lpstr>Versão Simplificada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Thiago Pereira de Lima</cp:lastModifiedBy>
  <cp:lastPrinted>2026-01-20T13:04:30Z</cp:lastPrinted>
  <dcterms:created xsi:type="dcterms:W3CDTF">2026-01-09T08:17:06Z</dcterms:created>
  <dcterms:modified xsi:type="dcterms:W3CDTF">2026-01-21T13:19:33Z</dcterms:modified>
</cp:coreProperties>
</file>